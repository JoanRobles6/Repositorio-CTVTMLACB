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u0\Desktop\Maestria D\Materias\Machine Learning\Vectorización\"/>
    </mc:Choice>
  </mc:AlternateContent>
  <xr:revisionPtr revIDLastSave="0" documentId="13_ncr:1_{AB1F2CBC-00C2-4526-AB57-8981467373D5}" xr6:coauthVersionLast="47" xr6:coauthVersionMax="47" xr10:uidLastSave="{00000000-0000-0000-0000-000000000000}"/>
  <bookViews>
    <workbookView xWindow="19200" yWindow="0" windowWidth="19200" windowHeight="21000" activeTab="2" xr2:uid="{73B4F10B-F49A-49E1-BF15-877E40F1EC30}"/>
  </bookViews>
  <sheets>
    <sheet name="Hoja1" sheetId="1" r:id="rId1"/>
    <sheet name="Hoja2 Completo (2)" sheetId="3" r:id="rId2"/>
    <sheet name="Hoja2 Con BERT F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3" i="2" l="1" a="1"/>
  <c r="AC123" i="2" s="1"/>
  <c r="AC122" i="2" a="1"/>
  <c r="AC122" i="2" s="1"/>
  <c r="AC121" i="2" a="1"/>
  <c r="AC121" i="2" s="1"/>
  <c r="BS4" i="2" a="1"/>
  <c r="BS4" i="2" s="1"/>
  <c r="BF4" i="2" a="1"/>
  <c r="BF4" i="2" s="1"/>
  <c r="AM56" i="2"/>
  <c r="AN56" i="2"/>
  <c r="AE38" i="2"/>
  <c r="AF38" i="2"/>
  <c r="AG38" i="2"/>
  <c r="AC87" i="2" a="1"/>
  <c r="AC87" i="2" s="1"/>
  <c r="AC82" i="2" a="1"/>
  <c r="AC82" i="2" s="1"/>
  <c r="AC77" i="2" a="1"/>
  <c r="AC77" i="2" s="1"/>
  <c r="AC92" i="2" s="1"/>
  <c r="AC41" i="2" a="1"/>
  <c r="AC41" i="2" s="1"/>
  <c r="AC56" i="2" s="1"/>
  <c r="AC59" i="2" a="1"/>
  <c r="AC59" i="2" s="1"/>
  <c r="AC74" i="2" s="1"/>
  <c r="AC33" i="2" a="1"/>
  <c r="AC33" i="2" s="1"/>
  <c r="AC28" i="2" a="1"/>
  <c r="AC28" i="2" s="1"/>
  <c r="AC23" i="2" a="1"/>
  <c r="AC23" i="2" s="1"/>
  <c r="AY4" i="2" s="1" a="1"/>
  <c r="AY4" i="2" s="1"/>
  <c r="AC15" i="2" a="1"/>
  <c r="AC15" i="2" s="1"/>
  <c r="AC10" i="2" a="1"/>
  <c r="AC10" i="2" s="1"/>
  <c r="AC5" i="2" a="1"/>
  <c r="AC5" i="2" s="1"/>
  <c r="AR4" i="2" s="1" a="1"/>
  <c r="AR4" i="2" s="1"/>
  <c r="AC69" i="2" a="1"/>
  <c r="AC69" i="2" s="1"/>
  <c r="AC64" i="2" a="1"/>
  <c r="AC64" i="2" s="1"/>
  <c r="BM4" i="2" s="1" a="1"/>
  <c r="BM4" i="2" s="1"/>
  <c r="AC51" i="2" a="1"/>
  <c r="AC51" i="2" s="1"/>
  <c r="AC46" i="2" a="1"/>
  <c r="AC46" i="2" s="1"/>
  <c r="AC96" i="2"/>
  <c r="AD96" i="2"/>
  <c r="AE96" i="2"/>
  <c r="AF96" i="2"/>
  <c r="AG96" i="2"/>
  <c r="AH96" i="2"/>
  <c r="AI96" i="2"/>
  <c r="AJ96" i="2"/>
  <c r="AK96" i="2"/>
  <c r="AL96" i="2"/>
  <c r="AM96" i="2"/>
  <c r="AN96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D95" i="2"/>
  <c r="AD110" i="2" s="1"/>
  <c r="AE95" i="2"/>
  <c r="AE110" i="2" s="1"/>
  <c r="AF95" i="2"/>
  <c r="AF110" i="2" s="1"/>
  <c r="AG95" i="2"/>
  <c r="AG110" i="2" s="1"/>
  <c r="AH95" i="2"/>
  <c r="AH110" i="2" s="1"/>
  <c r="AI95" i="2"/>
  <c r="AI110" i="2" s="1"/>
  <c r="AJ95" i="2"/>
  <c r="AJ110" i="2" s="1"/>
  <c r="AK95" i="2"/>
  <c r="AK110" i="2" s="1"/>
  <c r="AL95" i="2"/>
  <c r="AL110" i="2" s="1"/>
  <c r="AM95" i="2"/>
  <c r="AM110" i="2" s="1"/>
  <c r="AN95" i="2"/>
  <c r="AN110" i="2" s="1"/>
  <c r="AC95" i="2"/>
  <c r="AC110" i="2" s="1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D100" i="2"/>
  <c r="AE100" i="2"/>
  <c r="AF100" i="2"/>
  <c r="AG100" i="2"/>
  <c r="AH100" i="2"/>
  <c r="AI100" i="2"/>
  <c r="AJ100" i="2"/>
  <c r="AK100" i="2"/>
  <c r="AL100" i="2"/>
  <c r="AM100" i="2"/>
  <c r="AN100" i="2"/>
  <c r="AC100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D105" i="2"/>
  <c r="AE105" i="2"/>
  <c r="AF105" i="2"/>
  <c r="AG105" i="2"/>
  <c r="AH105" i="2"/>
  <c r="AI105" i="2"/>
  <c r="AJ105" i="2"/>
  <c r="AK105" i="2"/>
  <c r="AL105" i="2"/>
  <c r="AM105" i="2"/>
  <c r="AN105" i="2"/>
  <c r="AC105" i="2"/>
  <c r="AN94" i="3"/>
  <c r="AG94" i="3"/>
  <c r="AN93" i="3"/>
  <c r="AI93" i="3"/>
  <c r="AH93" i="3"/>
  <c r="AF93" i="3"/>
  <c r="AE93" i="3"/>
  <c r="AD93" i="3"/>
  <c r="AN89" i="3"/>
  <c r="AN97" i="3" s="1"/>
  <c r="AM89" i="3"/>
  <c r="AM97" i="3" s="1"/>
  <c r="AL89" i="3"/>
  <c r="AL97" i="3" s="1"/>
  <c r="AK89" i="3"/>
  <c r="AK97" i="3" s="1"/>
  <c r="AJ89" i="3"/>
  <c r="AJ97" i="3" s="1"/>
  <c r="AI89" i="3"/>
  <c r="AI97" i="3" s="1"/>
  <c r="AH89" i="3"/>
  <c r="AH97" i="3" s="1"/>
  <c r="AG89" i="3"/>
  <c r="AG97" i="3" s="1"/>
  <c r="AF89" i="3"/>
  <c r="AF97" i="3" s="1"/>
  <c r="AE89" i="3"/>
  <c r="AE97" i="3" s="1"/>
  <c r="AD89" i="3"/>
  <c r="AD97" i="3" s="1"/>
  <c r="AC89" i="3"/>
  <c r="AC97" i="3" s="1"/>
  <c r="AN72" i="3"/>
  <c r="AN96" i="3" s="1"/>
  <c r="AM72" i="3"/>
  <c r="AM96" i="3" s="1"/>
  <c r="AL72" i="3"/>
  <c r="AL96" i="3" s="1"/>
  <c r="AK72" i="3"/>
  <c r="AK96" i="3" s="1"/>
  <c r="AJ72" i="3"/>
  <c r="AJ96" i="3" s="1"/>
  <c r="AI72" i="3"/>
  <c r="AI96" i="3" s="1"/>
  <c r="AH72" i="3"/>
  <c r="AH96" i="3" s="1"/>
  <c r="AG72" i="3"/>
  <c r="AG96" i="3" s="1"/>
  <c r="AF72" i="3"/>
  <c r="AF96" i="3" s="1"/>
  <c r="AE72" i="3"/>
  <c r="AE96" i="3" s="1"/>
  <c r="AD72" i="3"/>
  <c r="AD96" i="3" s="1"/>
  <c r="AC72" i="3"/>
  <c r="AC96" i="3" s="1"/>
  <c r="AN55" i="3"/>
  <c r="AN95" i="3" s="1"/>
  <c r="AM55" i="3"/>
  <c r="AM95" i="3" s="1"/>
  <c r="AL55" i="3"/>
  <c r="AL95" i="3" s="1"/>
  <c r="AK55" i="3"/>
  <c r="AK95" i="3" s="1"/>
  <c r="AJ55" i="3"/>
  <c r="AJ95" i="3" s="1"/>
  <c r="AI55" i="3"/>
  <c r="AI95" i="3" s="1"/>
  <c r="AH55" i="3"/>
  <c r="AH95" i="3" s="1"/>
  <c r="AG55" i="3"/>
  <c r="AG95" i="3" s="1"/>
  <c r="AF55" i="3"/>
  <c r="AF95" i="3" s="1"/>
  <c r="AE55" i="3"/>
  <c r="AE95" i="3" s="1"/>
  <c r="AD55" i="3"/>
  <c r="AD95" i="3" s="1"/>
  <c r="AC55" i="3"/>
  <c r="AC95" i="3" s="1"/>
  <c r="AN38" i="3"/>
  <c r="AM38" i="3"/>
  <c r="AM94" i="3" s="1"/>
  <c r="AL38" i="3"/>
  <c r="AL94" i="3" s="1"/>
  <c r="AK38" i="3"/>
  <c r="AK94" i="3" s="1"/>
  <c r="AJ38" i="3"/>
  <c r="AJ94" i="3" s="1"/>
  <c r="AI38" i="3"/>
  <c r="AI94" i="3" s="1"/>
  <c r="AH38" i="3"/>
  <c r="AH94" i="3" s="1"/>
  <c r="AG38" i="3"/>
  <c r="AF38" i="3"/>
  <c r="AF94" i="3" s="1"/>
  <c r="AE38" i="3"/>
  <c r="AE94" i="3" s="1"/>
  <c r="AD38" i="3"/>
  <c r="AD94" i="3" s="1"/>
  <c r="AC38" i="3"/>
  <c r="AC94" i="3" s="1"/>
  <c r="AN20" i="3"/>
  <c r="AM20" i="3"/>
  <c r="AM93" i="3" s="1"/>
  <c r="AL20" i="3"/>
  <c r="AL93" i="3" s="1"/>
  <c r="AK20" i="3"/>
  <c r="AK93" i="3" s="1"/>
  <c r="AJ20" i="3"/>
  <c r="AJ93" i="3" s="1"/>
  <c r="AI20" i="3"/>
  <c r="AH20" i="3"/>
  <c r="AG20" i="3"/>
  <c r="AG93" i="3" s="1"/>
  <c r="AF20" i="3"/>
  <c r="AE20" i="3"/>
  <c r="AD20" i="3"/>
  <c r="AC20" i="3"/>
  <c r="AC93" i="3" s="1"/>
  <c r="BS4" i="3" a="1"/>
  <c r="BS4" i="3" s="1"/>
  <c r="BM4" i="3" a="1"/>
  <c r="BM4" i="3" s="1"/>
  <c r="BN24" i="3" s="1"/>
  <c r="BF4" i="3" a="1"/>
  <c r="BF4" i="3" s="1"/>
  <c r="AY4" i="3" a="1"/>
  <c r="AY4" i="3" s="1"/>
  <c r="AS4" i="3" a="1"/>
  <c r="AS4" i="3" s="1"/>
  <c r="AR4" i="3" a="1"/>
  <c r="AR4" i="3" s="1"/>
  <c r="AS27" i="3" s="1"/>
  <c r="AN20" i="2" l="1"/>
  <c r="AF56" i="2"/>
  <c r="AF92" i="2"/>
  <c r="AM20" i="2"/>
  <c r="AE56" i="2"/>
  <c r="AE92" i="2"/>
  <c r="BW4" i="2" a="1"/>
  <c r="BW4" i="2" s="1"/>
  <c r="AN92" i="2"/>
  <c r="AM92" i="2"/>
  <c r="AL92" i="2"/>
  <c r="AK92" i="2"/>
  <c r="AI92" i="2"/>
  <c r="AG92" i="2"/>
  <c r="AK20" i="2"/>
  <c r="AL74" i="2"/>
  <c r="AG20" i="2"/>
  <c r="AK74" i="2"/>
  <c r="AF20" i="2"/>
  <c r="AJ74" i="2"/>
  <c r="AJ20" i="2"/>
  <c r="AE20" i="2"/>
  <c r="AI74" i="2"/>
  <c r="AD20" i="2"/>
  <c r="AH74" i="2"/>
  <c r="AJ92" i="2"/>
  <c r="AG56" i="2"/>
  <c r="AD38" i="2"/>
  <c r="AM74" i="2"/>
  <c r="AC20" i="2"/>
  <c r="AC118" i="2" s="1" a="1"/>
  <c r="AC118" i="2" s="1"/>
  <c r="AG74" i="2"/>
  <c r="AF74" i="2"/>
  <c r="AM38" i="2"/>
  <c r="AE74" i="2"/>
  <c r="AK56" i="2"/>
  <c r="AI56" i="2"/>
  <c r="AN38" i="2"/>
  <c r="AL38" i="2"/>
  <c r="AD74" i="2"/>
  <c r="AC38" i="2"/>
  <c r="AL56" i="2"/>
  <c r="AJ56" i="2"/>
  <c r="AH56" i="2"/>
  <c r="AD56" i="2"/>
  <c r="AC120" i="2" s="1" a="1"/>
  <c r="AC120" i="2" s="1"/>
  <c r="AN74" i="2"/>
  <c r="AH20" i="2"/>
  <c r="AK38" i="2"/>
  <c r="AJ38" i="2"/>
  <c r="AL20" i="2"/>
  <c r="AI38" i="2"/>
  <c r="AS4" i="2" a="1"/>
  <c r="AS4" i="2" s="1"/>
  <c r="AH92" i="2"/>
  <c r="AD92" i="2"/>
  <c r="AI20" i="2"/>
  <c r="AH38" i="2"/>
  <c r="BG25" i="2"/>
  <c r="AZ24" i="2"/>
  <c r="AS27" i="2"/>
  <c r="BN24" i="2"/>
  <c r="BT24" i="2"/>
  <c r="BT25" i="3"/>
  <c r="BT24" i="3"/>
  <c r="AZ26" i="3"/>
  <c r="AZ25" i="3"/>
  <c r="AS21" i="3"/>
  <c r="AZ24" i="3"/>
  <c r="BG25" i="3"/>
  <c r="BG24" i="3"/>
  <c r="AC119" i="2" l="1" a="1"/>
  <c r="AC119" i="2" s="1"/>
  <c r="AZ26" i="2"/>
  <c r="AS21" i="2"/>
  <c r="AZ25" i="2"/>
  <c r="BG24" i="2"/>
  <c r="BT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<sst xmlns="http://schemas.openxmlformats.org/spreadsheetml/2006/main" count="1110" uniqueCount="450">
  <si>
    <t>CountVectorizer</t>
  </si>
  <si>
    <t>TfidfVectorizer</t>
  </si>
  <si>
    <t>Word2Vec</t>
  </si>
  <si>
    <t>Doc2Vec</t>
  </si>
  <si>
    <t>Bert</t>
  </si>
  <si>
    <t xml:space="preserve">Regresion Logistica </t>
  </si>
  <si>
    <t>SVM</t>
  </si>
  <si>
    <t>RandomForestClassifier</t>
  </si>
  <si>
    <t>MultinomialNB</t>
  </si>
  <si>
    <t>MLP Classifier</t>
  </si>
  <si>
    <t>Accuracy</t>
  </si>
  <si>
    <t xml:space="preserve">Precision </t>
  </si>
  <si>
    <t>Recall</t>
  </si>
  <si>
    <t xml:space="preserve">F1 Score </t>
  </si>
  <si>
    <t>AUC</t>
  </si>
  <si>
    <t xml:space="preserve">Amazon Sentimientos </t>
  </si>
  <si>
    <t xml:space="preserve">Twitter Hate y Negativos </t>
  </si>
  <si>
    <t xml:space="preserve">Spam Ham </t>
  </si>
  <si>
    <t>GaussianNB</t>
  </si>
  <si>
    <t xml:space="preserve">3 Mejores </t>
  </si>
  <si>
    <t>Analisisi de Sentimientos (Amazon)</t>
  </si>
  <si>
    <t>Twiter Hate y Negativos</t>
  </si>
  <si>
    <t>TffidtVectorizer</t>
  </si>
  <si>
    <t xml:space="preserve">Promedio </t>
  </si>
  <si>
    <t>Vectorizador</t>
  </si>
  <si>
    <t>BERT(Ttransformers)</t>
  </si>
  <si>
    <t>Count</t>
  </si>
  <si>
    <t>Tfid</t>
  </si>
  <si>
    <t>Count - TFID</t>
  </si>
  <si>
    <t>Count - W2V</t>
  </si>
  <si>
    <t>Count - D2V</t>
  </si>
  <si>
    <t>Count - BERT</t>
  </si>
  <si>
    <t>TFID - W2V</t>
  </si>
  <si>
    <t>TFID - D2V</t>
  </si>
  <si>
    <t>TFID - BERT</t>
  </si>
  <si>
    <t>W2V - D2V</t>
  </si>
  <si>
    <t>W2V - BERT</t>
  </si>
  <si>
    <t xml:space="preserve">D2V - BERT </t>
  </si>
  <si>
    <t>BERT -Doc2Vec</t>
  </si>
  <si>
    <t>BERT -W2V</t>
  </si>
  <si>
    <t>BERT -D2V</t>
  </si>
  <si>
    <t>0.9325 ± 0.0015</t>
  </si>
  <si>
    <t>0.8991 ± 0.0069</t>
  </si>
  <si>
    <t>0.8247 ± 0.0059</t>
  </si>
  <si>
    <t>0.8603 ± 0.0031</t>
  </si>
  <si>
    <t>0.9757 ± 0.0008</t>
  </si>
  <si>
    <t>0.9489 ± 0.0016</t>
  </si>
  <si>
    <t>0.9149 ± 0.0048</t>
  </si>
  <si>
    <t>0.8786 ± 0.0050</t>
  </si>
  <si>
    <t>0.8964 ± 0.0032</t>
  </si>
  <si>
    <t>0.9835 ± 0.0009</t>
  </si>
  <si>
    <t>0.9253 ± 0.0009</t>
  </si>
  <si>
    <t>0.9391 ± 0.0031</t>
  </si>
  <si>
    <t>0.7520 ± 0.0037</t>
  </si>
  <si>
    <t>0.8352 ± 0.0022</t>
  </si>
  <si>
    <t>0.9756 ± 0.0009</t>
  </si>
  <si>
    <t>0.8619 ± 0.0018</t>
  </si>
  <si>
    <t>0.9630 ± 0.0067</t>
  </si>
  <si>
    <t>0.4694 ± 0.0090</t>
  </si>
  <si>
    <t>0.6311 ± 0.0074</t>
  </si>
  <si>
    <t>0.9688 ± 0.0016</t>
  </si>
  <si>
    <t>0.9378 ± 0.0023</t>
  </si>
  <si>
    <t>0.8840 ± 0.0160</t>
  </si>
  <si>
    <t>0.8674 ± 0.0126</t>
  </si>
  <si>
    <t>0.8754 ± 0.0034</t>
  </si>
  <si>
    <t>0.9689 ± 0.0018</t>
  </si>
  <si>
    <t>Runtime (s)</t>
  </si>
  <si>
    <t>Memory (MiB)</t>
  </si>
  <si>
    <t>0.8989 ± 0.0022</t>
  </si>
  <si>
    <t>0.8323 ± 0.0065</t>
  </si>
  <si>
    <t>0.7495 ± 0.0046</t>
  </si>
  <si>
    <t>0.7887 ± 0.0044</t>
  </si>
  <si>
    <t>0.9450 ± 0.0017</t>
  </si>
  <si>
    <t>0.9083 ± 0.0023</t>
  </si>
  <si>
    <t>0.8389 ± 0.0048</t>
  </si>
  <si>
    <t>0.7868 ± 0.0053</t>
  </si>
  <si>
    <t>0.8120 ± 0.0048</t>
  </si>
  <si>
    <t>0.9520 ± 0.0026</t>
  </si>
  <si>
    <t>0.9133 ± 0.0037</t>
  </si>
  <si>
    <t>0.8721 ± 0.0052</t>
  </si>
  <si>
    <t>0.7682 ± 0.0116</t>
  </si>
  <si>
    <t>0.8169 ± 0.0086</t>
  </si>
  <si>
    <t>0.9647 ± 0.0015</t>
  </si>
  <si>
    <t>0.6031 ± 0.0016</t>
  </si>
  <si>
    <t>0.3751 ± 0.0010</t>
  </si>
  <si>
    <t>0.8655 ± 0.0069</t>
  </si>
  <si>
    <t>0.5234 ± 0.0019</t>
  </si>
  <si>
    <t>0.7667 ± 0.0023</t>
  </si>
  <si>
    <t>0.9187 ± 0.0014</t>
  </si>
  <si>
    <t>0.8370 ± 0.0095</t>
  </si>
  <si>
    <t>0.8415 ± 0.0151</t>
  </si>
  <si>
    <t>0.8391 ± 0.0040</t>
  </si>
  <si>
    <t>0.9526 ± 0.0049</t>
  </si>
  <si>
    <t>0.8401 ± 0.0034</t>
  </si>
  <si>
    <t>0.7848 ± 0.0130</t>
  </si>
  <si>
    <t>0.5028 ± 0.0064</t>
  </si>
  <si>
    <t>0.6129 ± 0.0076</t>
  </si>
  <si>
    <t>0.8789 ± 0.0070</t>
  </si>
  <si>
    <t>0.8589 ± 0.0034</t>
  </si>
  <si>
    <t>0.8190 ± 0.0076</t>
  </si>
  <si>
    <t>0.5644 ± 0.0099</t>
  </si>
  <si>
    <t>0.6683 ± 0.0092</t>
  </si>
  <si>
    <t>0.8930 ± 0.0034</t>
  </si>
  <si>
    <t>0.8231 ± 0.0026</t>
  </si>
  <si>
    <t>0.8578 ± 0.0095</t>
  </si>
  <si>
    <t>0.3566 ± 0.0070</t>
  </si>
  <si>
    <t>0.5038 ± 0.0085</t>
  </si>
  <si>
    <t>0.8781 ± 0.0025</t>
  </si>
  <si>
    <t>0.7053 ± 0.0036</t>
  </si>
  <si>
    <t>0.4036 ± 0.0085</t>
  </si>
  <si>
    <t>0.3573 ± 0.0101</t>
  </si>
  <si>
    <t>0.3790 ± 0.0093</t>
  </si>
  <si>
    <t>0.7101 ± 0.0033</t>
  </si>
  <si>
    <t>0.8643 ± 0.0035</t>
  </si>
  <si>
    <t>0.7412 ± 0.0126</t>
  </si>
  <si>
    <t>0.7092 ± 0.0179</t>
  </si>
  <si>
    <t>0.7246 ± 0.0079</t>
  </si>
  <si>
    <t>0.8692 ± 0.0074</t>
  </si>
  <si>
    <t>0.8871 ± 0.0048</t>
  </si>
  <si>
    <t>0.7541 ± 0.0219</t>
  </si>
  <si>
    <t>0.4868 ± 0.0226</t>
  </si>
  <si>
    <t>0.5914 ± 0.0204</t>
  </si>
  <si>
    <t>0.9155 ± 0.0041</t>
  </si>
  <si>
    <t>0.9011 ± 0.0025</t>
  </si>
  <si>
    <t>0.7904 ± 0.0097</t>
  </si>
  <si>
    <t>0.5595 ± 0.0121</t>
  </si>
  <si>
    <t>0.6551 ± 0.0103</t>
  </si>
  <si>
    <t>0.9254 ± 0.0044</t>
  </si>
  <si>
    <t>0.8703 ± 0.0022</t>
  </si>
  <si>
    <t>0.8065 ± 0.0204</t>
  </si>
  <si>
    <t>0.2997 ± 0.0108</t>
  </si>
  <si>
    <t>0.4369 ± 0.0122</t>
  </si>
  <si>
    <t>0.8668 ± 0.0067</t>
  </si>
  <si>
    <t>0.8050 ± 0.0091</t>
  </si>
  <si>
    <t>0.4392 ± 0.0202</t>
  </si>
  <si>
    <t>0.5784 ± 0.0223</t>
  </si>
  <si>
    <t>0.4992 ± 0.0204</t>
  </si>
  <si>
    <t>0.8146 ± 0.0144</t>
  </si>
  <si>
    <t>0.8884 ± 0.0041</t>
  </si>
  <si>
    <t>0.6837 ± 0.0110</t>
  </si>
  <si>
    <t>0.6246 ± 0.0220</t>
  </si>
  <si>
    <t>0.6527 ± 0.0157</t>
  </si>
  <si>
    <t>0.8907 ± 0.0039</t>
  </si>
  <si>
    <t>0.8870 ± 0.0047</t>
  </si>
  <si>
    <t>0.7077 ± 0.0239</t>
  </si>
  <si>
    <t>0.5592 ± 0.0101</t>
  </si>
  <si>
    <t>0.6245 ± 0.0114</t>
  </si>
  <si>
    <t>0.9333 ± 0.0050</t>
  </si>
  <si>
    <t>0.8659 ± 0.0018</t>
  </si>
  <si>
    <t>0.7174 ± 0.0200</t>
  </si>
  <si>
    <t>0.3333 ± 0.0087</t>
  </si>
  <si>
    <t>0.4550 ± 0.0067</t>
  </si>
  <si>
    <t>0.9109 ± 0.0051</t>
  </si>
  <si>
    <t>0.8792 ± 0.0046</t>
  </si>
  <si>
    <t>0.7057 ± 0.0275</t>
  </si>
  <si>
    <t>0.4835 ± 0.0075</t>
  </si>
  <si>
    <t>0.5736 ± 0.0103</t>
  </si>
  <si>
    <t>0.9181 ± 0.0047</t>
  </si>
  <si>
    <t>0.7478 ± 0.0104</t>
  </si>
  <si>
    <t>0.3667 ± 0.0138</t>
  </si>
  <si>
    <t>0.6883 ± 0.0117</t>
  </si>
  <si>
    <t>0.4784 ± 0.0143</t>
  </si>
  <si>
    <t>0.8024 ± 0.0101</t>
  </si>
  <si>
    <t>0.8892 ± 0.0069</t>
  </si>
  <si>
    <t>0.6552 ± 0.0357</t>
  </si>
  <si>
    <t>0.7360 ± 0.0756</t>
  </si>
  <si>
    <t>0.6895 ± 0.0195</t>
  </si>
  <si>
    <t>0.9433 ± 0.0037</t>
  </si>
  <si>
    <t>0.9076 ± 0.0109</t>
  </si>
  <si>
    <t>0.9159 ± 0.0168</t>
  </si>
  <si>
    <t>0.7506 ± 0.0374</t>
  </si>
  <si>
    <t>0.8245 ± 0.0231</t>
  </si>
  <si>
    <t>0.9534 ± 0.0068</t>
  </si>
  <si>
    <t>0.9134 ± 0.0096</t>
  </si>
  <si>
    <t>0.9480 ± 0.0132</t>
  </si>
  <si>
    <t>0.7423 ± 0.0329</t>
  </si>
  <si>
    <t>0.8322 ± 0.0210</t>
  </si>
  <si>
    <t>0.9606 ± 0.0048</t>
  </si>
  <si>
    <t>0.9093 ± 0.0080</t>
  </si>
  <si>
    <t>0.9539 ± 0.0186</t>
  </si>
  <si>
    <t>0.7231 ± 0.0398</t>
  </si>
  <si>
    <t>0.8216 ± 0.0207</t>
  </si>
  <si>
    <t>0.9664 ± 0.0065</t>
  </si>
  <si>
    <t>0.7029 ± 0.0131</t>
  </si>
  <si>
    <t>0.4813 ± 0.0333</t>
  </si>
  <si>
    <t>0.3261 ± 0.0334</t>
  </si>
  <si>
    <t>0.3883 ± 0.0326</t>
  </si>
  <si>
    <t>0.6770 ± 0.0132</t>
  </si>
  <si>
    <t>0.9461 ± 0.0079</t>
  </si>
  <si>
    <t>0.9164 ± 0.0107</t>
  </si>
  <si>
    <t>0.8958 ± 0.0227</t>
  </si>
  <si>
    <t>0.9058 ± 0.0145</t>
  </si>
  <si>
    <t>0.9731 ± 0.0052</t>
  </si>
  <si>
    <t>0.9531 ± 0.0083</t>
  </si>
  <si>
    <t>0.9013 ± 0.0193</t>
  </si>
  <si>
    <t>0.9416 ± 0.0094</t>
  </si>
  <si>
    <t>0.9210 ± 0.0134</t>
  </si>
  <si>
    <t>0.9894 ± 0.0025</t>
  </si>
  <si>
    <t>0.9516 ± 0.0075</t>
  </si>
  <si>
    <t>0.8859 ± 0.0159</t>
  </si>
  <si>
    <t>0.9566 ± 0.0081</t>
  </si>
  <si>
    <t>0.9199 ± 0.0119</t>
  </si>
  <si>
    <t>0.9908 ± 0.0017</t>
  </si>
  <si>
    <t>0.9681 ± 0.0050</t>
  </si>
  <si>
    <t>0.9339 ± 0.0184</t>
  </si>
  <si>
    <t>0.9583 ± 0.0083</t>
  </si>
  <si>
    <t>0.9458 ± 0.0079</t>
  </si>
  <si>
    <t>0.9941 ± 0.0009</t>
  </si>
  <si>
    <t>0.8723 ± 0.0065</t>
  </si>
  <si>
    <t>0.7015 ± 0.0118</t>
  </si>
  <si>
    <t>0.9750 ± 0.0037</t>
  </si>
  <si>
    <t>0.8158 ± 0.0075</t>
  </si>
  <si>
    <t>0.9523 ± 0.0024</t>
  </si>
  <si>
    <t>0.9683 ± 0.0077</t>
  </si>
  <si>
    <t>0.9540 ± 0.0226</t>
  </si>
  <si>
    <t>0.9366 ± 0.0224</t>
  </si>
  <si>
    <t>0.9449 ± 0.0134</t>
  </si>
  <si>
    <t>0.9945 ± 0.0026</t>
  </si>
  <si>
    <t>0.9741 ± 0.0047</t>
  </si>
  <si>
    <t>0.9536 ± 0.0085</t>
  </si>
  <si>
    <t>0.9575 ± 0.0136</t>
  </si>
  <si>
    <t>0.9554 ± 0.0084</t>
  </si>
  <si>
    <t>0.9960 ± 0.0020</t>
  </si>
  <si>
    <t>0.9698 ± 0.0052</t>
  </si>
  <si>
    <t>0.9439 ± 0.0101</t>
  </si>
  <si>
    <t>0.9524 ± 0.0160</t>
  </si>
  <si>
    <t>0.9481 ± 0.0093</t>
  </si>
  <si>
    <t>0.9954 ± 0.0013</t>
  </si>
  <si>
    <t>0.9463 ± 0.0069</t>
  </si>
  <si>
    <t>0.9391 ± 0.0154</t>
  </si>
  <si>
    <t>0.8715 ± 0.0168</t>
  </si>
  <si>
    <t>0.9040 ± 0.0124</t>
  </si>
  <si>
    <t>0.9912 ± 0.0021</t>
  </si>
  <si>
    <t>0.9180 ± 0.0146</t>
  </si>
  <si>
    <t>0.8107 ± 0.0313</t>
  </si>
  <si>
    <t>0.9375 ± 0.0142</t>
  </si>
  <si>
    <t>0.8693 ± 0.0219</t>
  </si>
  <si>
    <t>0.9630 ± 0.0048</t>
  </si>
  <si>
    <t>0.9739 ± 0.0056</t>
  </si>
  <si>
    <t>0.9529 ± 0.0086</t>
  </si>
  <si>
    <t>0.9574 ± 0.0220</t>
  </si>
  <si>
    <t>0.9550 ± 0.0103</t>
  </si>
  <si>
    <t>0.9964 ± 0.0018</t>
  </si>
  <si>
    <t>0.9312 ± 0.0027</t>
  </si>
  <si>
    <t>0.8725 ± 0.0023</t>
  </si>
  <si>
    <t>0.8510 ± 0.0120</t>
  </si>
  <si>
    <t>0.8616 ± 0.0064</t>
  </si>
  <si>
    <t>0.9728 ± 0.0024</t>
  </si>
  <si>
    <t>0.9325 ± 0.0018</t>
  </si>
  <si>
    <t>0.8808 ± 0.0032</t>
  </si>
  <si>
    <t>0.8464 ± 0.0092</t>
  </si>
  <si>
    <t>0.8632 ± 0.0044</t>
  </si>
  <si>
    <t>0.9705 ± 0.0018</t>
  </si>
  <si>
    <t>0.9223 ± 0.0041</t>
  </si>
  <si>
    <t>0.9112 ± 0.0054</t>
  </si>
  <si>
    <t>0.7660 ± 0.0172</t>
  </si>
  <si>
    <t>0.8322 ± 0.0105</t>
  </si>
  <si>
    <t>0.9724 ± 0.0026</t>
  </si>
  <si>
    <t>0.7326 ± 0.0020</t>
  </si>
  <si>
    <t>0.4815 ± 0.0023</t>
  </si>
  <si>
    <t>0.8076 ± 0.0014</t>
  </si>
  <si>
    <t>0.6033 ± 0.0016</t>
  </si>
  <si>
    <t>0.8132 ± 0.0022</t>
  </si>
  <si>
    <t>0.9402 ± 0.0034</t>
  </si>
  <si>
    <t>0.8849 ± 0.0109</t>
  </si>
  <si>
    <t>0.8768 ± 0.0162</t>
  </si>
  <si>
    <t>0.8807 ± 0.0073</t>
  </si>
  <si>
    <t>0.9690 ± 0.0032</t>
  </si>
  <si>
    <t>0.9046 ± 0.0029</t>
  </si>
  <si>
    <t>0.7519 ± 0.0146</t>
  </si>
  <si>
    <t>0.6450 ± 0.0128</t>
  </si>
  <si>
    <t>0.6942 ± 0.0086</t>
  </si>
  <si>
    <t>0.9387 ± 0.0033</t>
  </si>
  <si>
    <t>0.9026 ± 0.0039</t>
  </si>
  <si>
    <t>0.8104 ± 0.0194</t>
  </si>
  <si>
    <t>0.5483 ± 0.0160</t>
  </si>
  <si>
    <t>0.6540 ± 0.0147</t>
  </si>
  <si>
    <t>0.9359 ± 0.0033</t>
  </si>
  <si>
    <t>0.8675 ± 0.0042</t>
  </si>
  <si>
    <t>0.8539 ± 0.0280</t>
  </si>
  <si>
    <t>0.2550 ± 0.0226</t>
  </si>
  <si>
    <t>0.3922 ± 0.0288</t>
  </si>
  <si>
    <t>0.8854 ± 0.0081</t>
  </si>
  <si>
    <t>0.7866 ± 0.0063</t>
  </si>
  <si>
    <t>0.4231 ± 0.0103</t>
  </si>
  <si>
    <t>0.7438 ± 0.0217</t>
  </si>
  <si>
    <t>0.5393 ± 0.0128</t>
  </si>
  <si>
    <t>0.8462 ± 0.0094</t>
  </si>
  <si>
    <t>0.8999 ± 0.0056</t>
  </si>
  <si>
    <t>0.7237 ± 0.0347</t>
  </si>
  <si>
    <t>0.6592 ± 0.0352</t>
  </si>
  <si>
    <t>0.6884 ± 0.0155</t>
  </si>
  <si>
    <t>0.9305 ± 0.0040</t>
  </si>
  <si>
    <t>0.9544 ± 0.0028</t>
  </si>
  <si>
    <t>0.8553 ± 0.0052</t>
  </si>
  <si>
    <t>0.8769 ± 0.0138</t>
  </si>
  <si>
    <t>0.8659 ± 0.0088</t>
  </si>
  <si>
    <t>0.9822 ± 0.0029</t>
  </si>
  <si>
    <t>0.9461 ± 0.0030</t>
  </si>
  <si>
    <t>0.8463 ± 0.0075</t>
  </si>
  <si>
    <t>0.8300 ± 0.0121</t>
  </si>
  <si>
    <t>0.8381 ± 0.0094</t>
  </si>
  <si>
    <t>0.9780 ± 0.0027</t>
  </si>
  <si>
    <t>0.9179 ± 0.0024</t>
  </si>
  <si>
    <t>0.8917 ± 0.0054</t>
  </si>
  <si>
    <t>0.5817 ± 0.0127</t>
  </si>
  <si>
    <t>0.7040 ± 0.0108</t>
  </si>
  <si>
    <t>0.9693 ± 0.0034</t>
  </si>
  <si>
    <t>0.9072 ± 0.0022</t>
  </si>
  <si>
    <t>0.9080 ± 0.0079</t>
  </si>
  <si>
    <t>0.4979 ± 0.0108</t>
  </si>
  <si>
    <t>0.6431 ± 0.0104</t>
  </si>
  <si>
    <t>0.9566 ± 0.0042</t>
  </si>
  <si>
    <t>0.9413 ± 0.0010</t>
  </si>
  <si>
    <t>0.8467 ± 0.0080</t>
  </si>
  <si>
    <t>0.7949 ± 0.0156</t>
  </si>
  <si>
    <t>0.8198 ± 0.0050</t>
  </si>
  <si>
    <t>0.9716 ± 0.0033</t>
  </si>
  <si>
    <t>0.9303 ± 0.0037</t>
  </si>
  <si>
    <t>0.8837 ± 0.0137</t>
  </si>
  <si>
    <t>0.6736 ± 0.0121</t>
  </si>
  <si>
    <t>0.7645 ± 0.0128</t>
  </si>
  <si>
    <t>0.9769 ± 0.0033</t>
  </si>
  <si>
    <t>0.9413 ± 0.0033</t>
  </si>
  <si>
    <t>0.8714 ± 0.0109</t>
  </si>
  <si>
    <t>0.7634 ± 0.0111</t>
  </si>
  <si>
    <t>0.8138 ± 0.0107</t>
  </si>
  <si>
    <t>0.9773 ± 0.0030</t>
  </si>
  <si>
    <t>0.9016 ± 0.0016</t>
  </si>
  <si>
    <t>0.9027 ± 0.0113</t>
  </si>
  <si>
    <t>0.4643 ± 0.0111</t>
  </si>
  <si>
    <t>0.6131 ± 0.0090</t>
  </si>
  <si>
    <t>0.9665 ± 0.0019</t>
  </si>
  <si>
    <t>0.8432 ± 0.0012</t>
  </si>
  <si>
    <t>0.9808 ± 0.0188</t>
  </si>
  <si>
    <t>0.0679 ± 0.0085</t>
  </si>
  <si>
    <t>0.1268 ± 0.0145</t>
  </si>
  <si>
    <t>0.9291 ± 0.0036</t>
  </si>
  <si>
    <t>0.9340 ± 0.0033</t>
  </si>
  <si>
    <t>0.8341 ± 0.0160</t>
  </si>
  <si>
    <t>0.7586 ± 0.0159</t>
  </si>
  <si>
    <t>0.7943 ± 0.0100</t>
  </si>
  <si>
    <t>0.9682 ± 0.0038</t>
  </si>
  <si>
    <t>0.9329 ± 0.0017</t>
  </si>
  <si>
    <t>0.8897 ± 0.0067</t>
  </si>
  <si>
    <t>0.8373 ± 0.0064</t>
  </si>
  <si>
    <t>0.8627 ± 0.0035</t>
  </si>
  <si>
    <t>0.9666 ± 0.0019</t>
  </si>
  <si>
    <t>0.9153 ± 0.0025</t>
  </si>
  <si>
    <t>0.8943 ± 0.0039</t>
  </si>
  <si>
    <t>0.7526 ± 0.0092</t>
  </si>
  <si>
    <t>0.8173 ± 0.0061</t>
  </si>
  <si>
    <t>0.9673 ± 0.0014</t>
  </si>
  <si>
    <t>0.9295 ± 0.0018</t>
  </si>
  <si>
    <t>0.9411 ± 0.0037</t>
  </si>
  <si>
    <t>0.7680 ± 0.0090</t>
  </si>
  <si>
    <t>0.8458 ± 0.0047</t>
  </si>
  <si>
    <t>0.9763 ± 0.0012</t>
  </si>
  <si>
    <t>0.9193 ± 0.0016</t>
  </si>
  <si>
    <t>0.8748 ± 0.0055</t>
  </si>
  <si>
    <t>0.7929 ± 0.0059</t>
  </si>
  <si>
    <t>0.8319 ± 0.0034</t>
  </si>
  <si>
    <t>0.9478 ± 0.0016</t>
  </si>
  <si>
    <t>0.9438 ± 0.0011</t>
  </si>
  <si>
    <t>0.8982 ± 0.0060</t>
  </si>
  <si>
    <t>0.8763 ± 0.0096</t>
  </si>
  <si>
    <t>0.8870 ± 0.0029</t>
  </si>
  <si>
    <t>0.9668 ± 0.0033</t>
  </si>
  <si>
    <t>0.9746 ± 0.0041</t>
  </si>
  <si>
    <t>0.9416 ± 0.0180</t>
  </si>
  <si>
    <t>0.9733 ± 0.0110</t>
  </si>
  <si>
    <t>0.9570 ± 0.0066</t>
  </si>
  <si>
    <t>0.9930 ± 0.0025</t>
  </si>
  <si>
    <t>0.9587 ± 0.0064</t>
  </si>
  <si>
    <t>0.9040 ± 0.0207</t>
  </si>
  <si>
    <t>0.9600 ± 0.0042</t>
  </si>
  <si>
    <t>0.9310 ± 0.0097</t>
  </si>
  <si>
    <t>0.9906 ± 0.0022</t>
  </si>
  <si>
    <t>0.9688 ± 0.0028</t>
  </si>
  <si>
    <t>0.9536 ± 0.0110</t>
  </si>
  <si>
    <t>0.9383 ± 0.0056</t>
  </si>
  <si>
    <t>0.9458 ± 0.0046</t>
  </si>
  <si>
    <t>0.9937 ± 0.0015</t>
  </si>
  <si>
    <t>0.9753 ± 0.0036</t>
  </si>
  <si>
    <t>0.9661 ± 0.0090</t>
  </si>
  <si>
    <t>0.9483 ± 0.0085</t>
  </si>
  <si>
    <t>0.9571 ± 0.0062</t>
  </si>
  <si>
    <t>0.9943 ± 0.0009</t>
  </si>
  <si>
    <t>0.9763 ± 0.0046</t>
  </si>
  <si>
    <t>0.9595 ± 0.0158</t>
  </si>
  <si>
    <t>0.9591 ± 0.0140</t>
  </si>
  <si>
    <t>0.9591 ± 0.0079</t>
  </si>
  <si>
    <t>0.9919 ± 0.0038</t>
  </si>
  <si>
    <t>0.9785 ± 0.0066</t>
  </si>
  <si>
    <t>0.9566 ± 0.0148</t>
  </si>
  <si>
    <t>0.9700 ± 0.0140</t>
  </si>
  <si>
    <t>0.9632 ± 0.0112</t>
  </si>
  <si>
    <t>0.9970 ± 0.0009</t>
  </si>
  <si>
    <t>0.9826 ± 0.0064</t>
  </si>
  <si>
    <t>0.9543 ± 0.0164</t>
  </si>
  <si>
    <t>0.9875 ± 0.0065</t>
  </si>
  <si>
    <t>0.9706 ± 0.0107</t>
  </si>
  <si>
    <t>0.9983 ± 0.0005</t>
  </si>
  <si>
    <t>0.9698 ± 0.0051</t>
  </si>
  <si>
    <t>0.9567 ± 0.0123</t>
  </si>
  <si>
    <t>0.9383 ± 0.0089</t>
  </si>
  <si>
    <t>0.9474 ± 0.0088</t>
  </si>
  <si>
    <t>0.9959 ± 0.0011</t>
  </si>
  <si>
    <t>0.8639 ± 0.0099</t>
  </si>
  <si>
    <t>0.9985 ± 0.0029</t>
  </si>
  <si>
    <t>0.5313 ± 0.0354</t>
  </si>
  <si>
    <t>0.6928 ± 0.0297</t>
  </si>
  <si>
    <t>0.9964 ± 0.0015</t>
  </si>
  <si>
    <t>0.9860 ± 0.0036</t>
  </si>
  <si>
    <t>0.9759 ± 0.0079</t>
  </si>
  <si>
    <t>0.9758 ± 0.0113</t>
  </si>
  <si>
    <t>0.9758 ± 0.0063</t>
  </si>
  <si>
    <t>0.9987 ± 0.0005</t>
  </si>
  <si>
    <t>Acc SD</t>
  </si>
  <si>
    <t>Precision SD</t>
  </si>
  <si>
    <t>Recall SD</t>
  </si>
  <si>
    <t>F1 SD</t>
  </si>
  <si>
    <t>AUC SD</t>
  </si>
  <si>
    <t xml:space="preserve">p-value = </t>
  </si>
  <si>
    <t xml:space="preserve"> p-value = </t>
  </si>
  <si>
    <t>BERT -Word2Vec</t>
  </si>
  <si>
    <t>Shapiro-Wilk normality test</t>
  </si>
  <si>
    <t>W</t>
  </si>
  <si>
    <t>p-value</t>
  </si>
  <si>
    <t>TFIDF</t>
  </si>
  <si>
    <t>BOW</t>
  </si>
  <si>
    <t>W2V</t>
  </si>
  <si>
    <t>D2V</t>
  </si>
  <si>
    <t>BERT</t>
  </si>
  <si>
    <t>Normality?</t>
  </si>
  <si>
    <t>T test</t>
  </si>
  <si>
    <t>BOW -TFID</t>
  </si>
  <si>
    <t>U test</t>
  </si>
  <si>
    <t>ComparedVectorizers</t>
  </si>
  <si>
    <t>Significant?</t>
  </si>
  <si>
    <t>Test</t>
  </si>
  <si>
    <t>Shapiro</t>
  </si>
  <si>
    <t>Para Accuracy</t>
  </si>
  <si>
    <t>BERTFT - Count</t>
  </si>
  <si>
    <t>BERTFT - TFID</t>
  </si>
  <si>
    <t>BERTFT - W2V</t>
  </si>
  <si>
    <t>BERTFT - D2V</t>
  </si>
  <si>
    <t>BERTFT - BERT</t>
  </si>
  <si>
    <t>BERT FT</t>
  </si>
  <si>
    <t xml:space="preserve">BERT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</si>
</sst>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4"/>
      <color rgb="FF000000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4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Lucida Console"/>
      <family val="3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3" borderId="6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1" xfId="0" applyFill="1" applyBorder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0" borderId="0" xfId="0" applyAlignment="1">
      <alignment vertical="center" textRotation="90"/>
    </xf>
    <xf numFmtId="0" fontId="4" fillId="0" borderId="3" xfId="0" applyFont="1" applyBorder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0" borderId="13" xfId="0" applyBorder="1"/>
    <xf numFmtId="0" fontId="0" fillId="0" borderId="20" xfId="0" applyBorder="1"/>
    <xf numFmtId="0" fontId="0" fillId="0" borderId="16" xfId="0" applyBorder="1"/>
    <xf numFmtId="0" fontId="0" fillId="0" borderId="14" xfId="0" applyBorder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7" borderId="19" xfId="0" applyFill="1" applyBorder="1"/>
    <xf numFmtId="0" fontId="0" fillId="7" borderId="20" xfId="0" applyFill="1" applyBorder="1"/>
    <xf numFmtId="0" fontId="0" fillId="7" borderId="21" xfId="0" applyFill="1" applyBorder="1"/>
    <xf numFmtId="0" fontId="0" fillId="0" borderId="5" xfId="0" applyBorder="1" applyAlignment="1">
      <alignment horizontal="center" vertical="center"/>
    </xf>
    <xf numFmtId="0" fontId="0" fillId="0" borderId="15" xfId="0" applyBorder="1"/>
    <xf numFmtId="0" fontId="0" fillId="0" borderId="22" xfId="0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0" borderId="26" xfId="0" applyBorder="1"/>
    <xf numFmtId="0" fontId="0" fillId="0" borderId="18" xfId="0" applyBorder="1"/>
    <xf numFmtId="0" fontId="0" fillId="7" borderId="24" xfId="0" applyFill="1" applyBorder="1"/>
    <xf numFmtId="0" fontId="0" fillId="0" borderId="24" xfId="0" applyBorder="1"/>
    <xf numFmtId="0" fontId="0" fillId="0" borderId="27" xfId="0" applyBorder="1"/>
    <xf numFmtId="0" fontId="0" fillId="0" borderId="17" xfId="0" applyBorder="1"/>
    <xf numFmtId="0" fontId="0" fillId="5" borderId="24" xfId="0" applyFill="1" applyBorder="1"/>
    <xf numFmtId="0" fontId="0" fillId="7" borderId="25" xfId="0" applyFill="1" applyBorder="1"/>
    <xf numFmtId="0" fontId="0" fillId="0" borderId="8" xfId="0" applyBorder="1"/>
    <xf numFmtId="0" fontId="0" fillId="0" borderId="28" xfId="0" applyBorder="1"/>
    <xf numFmtId="0" fontId="0" fillId="8" borderId="23" xfId="0" applyFill="1" applyBorder="1"/>
    <xf numFmtId="0" fontId="0" fillId="5" borderId="25" xfId="0" applyFill="1" applyBorder="1"/>
    <xf numFmtId="0" fontId="0" fillId="5" borderId="23" xfId="0" applyFill="1" applyBorder="1"/>
    <xf numFmtId="0" fontId="0" fillId="7" borderId="23" xfId="0" applyFill="1" applyBorder="1"/>
    <xf numFmtId="2" fontId="0" fillId="7" borderId="6" xfId="0" applyNumberFormat="1" applyFill="1" applyBorder="1"/>
    <xf numFmtId="2" fontId="0" fillId="0" borderId="6" xfId="0" applyNumberFormat="1" applyBorder="1"/>
    <xf numFmtId="0" fontId="0" fillId="9" borderId="27" xfId="0" applyFill="1" applyBorder="1"/>
    <xf numFmtId="0" fontId="0" fillId="0" borderId="29" xfId="0" applyBorder="1" applyAlignment="1">
      <alignment horizontal="center" vertical="center"/>
    </xf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0" fillId="0" borderId="33" xfId="0" applyBorder="1"/>
    <xf numFmtId="0" fontId="0" fillId="7" borderId="31" xfId="0" applyFill="1" applyBorder="1"/>
    <xf numFmtId="0" fontId="0" fillId="0" borderId="31" xfId="0" applyBorder="1"/>
    <xf numFmtId="0" fontId="0" fillId="0" borderId="34" xfId="0" applyBorder="1"/>
    <xf numFmtId="0" fontId="0" fillId="0" borderId="35" xfId="0" applyBorder="1"/>
    <xf numFmtId="0" fontId="0" fillId="8" borderId="30" xfId="0" applyFill="1" applyBorder="1"/>
    <xf numFmtId="0" fontId="0" fillId="5" borderId="31" xfId="0" applyFill="1" applyBorder="1"/>
    <xf numFmtId="0" fontId="0" fillId="5" borderId="32" xfId="0" applyFill="1" applyBorder="1"/>
    <xf numFmtId="0" fontId="0" fillId="5" borderId="30" xfId="0" applyFill="1" applyBorder="1"/>
    <xf numFmtId="0" fontId="0" fillId="7" borderId="30" xfId="0" applyFill="1" applyBorder="1"/>
    <xf numFmtId="0" fontId="0" fillId="7" borderId="32" xfId="0" applyFill="1" applyBorder="1"/>
    <xf numFmtId="0" fontId="0" fillId="9" borderId="34" xfId="0" applyFill="1" applyBorder="1"/>
    <xf numFmtId="0" fontId="0" fillId="3" borderId="0" xfId="0" applyFill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10" fillId="0" borderId="1" xfId="0" applyFont="1" applyBorder="1"/>
    <xf numFmtId="0" fontId="0" fillId="10" borderId="1" xfId="0" applyFill="1" applyBorder="1"/>
    <xf numFmtId="0" fontId="0" fillId="8" borderId="1" xfId="0" applyFill="1" applyBorder="1"/>
    <xf numFmtId="0" fontId="0" fillId="11" borderId="1" xfId="0" applyFill="1" applyBorder="1"/>
    <xf numFmtId="11" fontId="12" fillId="0" borderId="0" xfId="0" applyNumberFormat="1" applyFont="1" applyAlignment="1">
      <alignment vertical="center"/>
    </xf>
    <xf numFmtId="2" fontId="0" fillId="7" borderId="1" xfId="0" applyNumberFormat="1" applyFill="1" applyBorder="1"/>
    <xf numFmtId="0" fontId="0" fillId="7" borderId="16" xfId="0" applyFill="1" applyBorder="1"/>
    <xf numFmtId="0" fontId="0" fillId="7" borderId="27" xfId="0" applyFill="1" applyBorder="1"/>
    <xf numFmtId="0" fontId="0" fillId="7" borderId="34" xfId="0" applyFill="1" applyBorder="1"/>
    <xf numFmtId="0" fontId="0" fillId="7" borderId="2" xfId="0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textRotation="90" wrapText="1"/>
    </xf>
    <xf numFmtId="0" fontId="0" fillId="12" borderId="13" xfId="0" applyFill="1" applyBorder="1"/>
    <xf numFmtId="0" fontId="0" fillId="12" borderId="26" xfId="0" applyFill="1" applyBorder="1"/>
    <xf numFmtId="0" fontId="0" fillId="12" borderId="33" xfId="0" applyFill="1" applyBorder="1"/>
    <xf numFmtId="0" fontId="0" fillId="12" borderId="4" xfId="0" applyFill="1" applyBorder="1"/>
    <xf numFmtId="0" fontId="0" fillId="12" borderId="18" xfId="0" applyFill="1" applyBorder="1"/>
    <xf numFmtId="0" fontId="0" fillId="12" borderId="20" xfId="0" applyFill="1" applyBorder="1"/>
    <xf numFmtId="0" fontId="0" fillId="12" borderId="24" xfId="0" applyFill="1" applyBorder="1"/>
    <xf numFmtId="0" fontId="0" fillId="12" borderId="31" xfId="0" applyFill="1" applyBorder="1"/>
    <xf numFmtId="0" fontId="0" fillId="12" borderId="1" xfId="0" applyFill="1" applyBorder="1"/>
    <xf numFmtId="0" fontId="0" fillId="12" borderId="9" xfId="0" applyFill="1" applyBorder="1"/>
    <xf numFmtId="0" fontId="0" fillId="12" borderId="16" xfId="0" applyFill="1" applyBorder="1"/>
    <xf numFmtId="0" fontId="0" fillId="12" borderId="27" xfId="0" applyFill="1" applyBorder="1"/>
    <xf numFmtId="0" fontId="0" fillId="12" borderId="34" xfId="0" applyFill="1" applyBorder="1"/>
    <xf numFmtId="0" fontId="0" fillId="12" borderId="2" xfId="0" applyFill="1" applyBorder="1"/>
    <xf numFmtId="0" fontId="0" fillId="12" borderId="17" xfId="0" applyFill="1" applyBorder="1"/>
    <xf numFmtId="0" fontId="0" fillId="3" borderId="17" xfId="0" applyFill="1" applyBorder="1"/>
    <xf numFmtId="0" fontId="0" fillId="7" borderId="4" xfId="0" applyFill="1" applyBorder="1"/>
    <xf numFmtId="0" fontId="0" fillId="7" borderId="18" xfId="0" applyFill="1" applyBorder="1"/>
    <xf numFmtId="0" fontId="0" fillId="3" borderId="34" xfId="0" applyFill="1" applyBorder="1"/>
    <xf numFmtId="0" fontId="0" fillId="7" borderId="33" xfId="0" applyFill="1" applyBorder="1"/>
    <xf numFmtId="0" fontId="0" fillId="3" borderId="27" xfId="0" applyFill="1" applyBorder="1"/>
    <xf numFmtId="0" fontId="0" fillId="7" borderId="26" xfId="0" applyFill="1" applyBorder="1"/>
    <xf numFmtId="0" fontId="10" fillId="3" borderId="23" xfId="0" applyFont="1" applyFill="1" applyBorder="1"/>
    <xf numFmtId="0" fontId="10" fillId="3" borderId="30" xfId="0" applyFont="1" applyFill="1" applyBorder="1"/>
    <xf numFmtId="0" fontId="10" fillId="3" borderId="6" xfId="0" applyFont="1" applyFill="1" applyBorder="1"/>
    <xf numFmtId="0" fontId="10" fillId="3" borderId="7" xfId="0" applyFont="1" applyFill="1" applyBorder="1"/>
    <xf numFmtId="0" fontId="0" fillId="13" borderId="24" xfId="0" applyFill="1" applyBorder="1"/>
    <xf numFmtId="0" fontId="0" fillId="13" borderId="23" xfId="0" applyFill="1" applyBorder="1"/>
    <xf numFmtId="0" fontId="0" fillId="13" borderId="6" xfId="0" applyFill="1" applyBorder="1"/>
    <xf numFmtId="0" fontId="0" fillId="13" borderId="11" xfId="0" applyFill="1" applyBorder="1"/>
    <xf numFmtId="0" fontId="0" fillId="13" borderId="1" xfId="0" applyFill="1" applyBorder="1"/>
    <xf numFmtId="0" fontId="0" fillId="13" borderId="2" xfId="0" applyFill="1" applyBorder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textRotation="90" wrapText="1"/>
    </xf>
    <xf numFmtId="0" fontId="0" fillId="3" borderId="24" xfId="0" applyFill="1" applyBorder="1" applyAlignment="1">
      <alignment horizontal="center" vertical="center" textRotation="90" wrapText="1"/>
    </xf>
    <xf numFmtId="0" fontId="0" fillId="3" borderId="25" xfId="0" applyFill="1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textRotation="90"/>
    </xf>
    <xf numFmtId="0" fontId="1" fillId="2" borderId="14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2" fillId="4" borderId="16" xfId="0" applyFont="1" applyFill="1" applyBorder="1" applyAlignment="1">
      <alignment horizontal="center" vertical="center" textRotation="90"/>
    </xf>
    <xf numFmtId="0" fontId="2" fillId="4" borderId="14" xfId="0" applyFont="1" applyFill="1" applyBorder="1" applyAlignment="1">
      <alignment horizontal="center" vertical="center" textRotation="90"/>
    </xf>
    <xf numFmtId="0" fontId="2" fillId="4" borderId="13" xfId="0" applyFont="1" applyFill="1" applyBorder="1" applyAlignment="1">
      <alignment horizontal="center" vertical="center" textRotation="90"/>
    </xf>
    <xf numFmtId="0" fontId="3" fillId="6" borderId="16" xfId="0" applyFont="1" applyFill="1" applyBorder="1" applyAlignment="1">
      <alignment horizontal="center" vertical="center" textRotation="90"/>
    </xf>
    <xf numFmtId="0" fontId="3" fillId="6" borderId="14" xfId="0" applyFont="1" applyFill="1" applyBorder="1" applyAlignment="1">
      <alignment horizontal="center" vertical="center" textRotation="90"/>
    </xf>
    <xf numFmtId="0" fontId="3" fillId="6" borderId="13" xfId="0" applyFont="1" applyFill="1" applyBorder="1" applyAlignment="1">
      <alignment horizontal="center" vertical="center" textRotation="90"/>
    </xf>
    <xf numFmtId="0" fontId="0" fillId="7" borderId="2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 textRotation="90" wrapText="1"/>
    </xf>
    <xf numFmtId="0" fontId="0" fillId="3" borderId="37" xfId="0" applyFill="1" applyBorder="1" applyAlignment="1">
      <alignment horizontal="center" vertical="center" textRotation="90" wrapText="1"/>
    </xf>
    <xf numFmtId="0" fontId="0" fillId="3" borderId="38" xfId="0" applyFill="1" applyBorder="1" applyAlignment="1">
      <alignment horizontal="center" vertical="center" textRotation="90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3" borderId="40" xfId="0" applyFill="1" applyBorder="1" applyAlignment="1">
      <alignment horizontal="center" vertical="center" textRotation="90" wrapText="1"/>
    </xf>
    <xf numFmtId="0" fontId="0" fillId="3" borderId="39" xfId="0" applyFill="1" applyBorder="1" applyAlignment="1">
      <alignment horizontal="center" vertical="center" textRotation="90" wrapText="1"/>
    </xf>
    <xf numFmtId="0" fontId="0" fillId="3" borderId="41" xfId="0" applyFill="1" applyBorder="1" applyAlignment="1">
      <alignment horizontal="center" vertical="center" textRotation="90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textRotation="90" wrapText="1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auto="1"/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E0E2-379B-4C79-8EC9-96F93FFCC496}">
  <dimension ref="E2:U86"/>
  <sheetViews>
    <sheetView topLeftCell="A12" zoomScaleNormal="100" workbookViewId="0">
      <selection activeCell="H93" sqref="H93:T105"/>
    </sheetView>
  </sheetViews>
  <sheetFormatPr baseColWidth="10" defaultRowHeight="15" x14ac:dyDescent="0.25"/>
  <cols>
    <col min="4" max="4" width="16.28515625" customWidth="1"/>
    <col min="5" max="5" width="23.42578125" customWidth="1"/>
    <col min="6" max="6" width="14.85546875" bestFit="1" customWidth="1"/>
    <col min="7" max="7" width="24.85546875" bestFit="1" customWidth="1"/>
    <col min="8" max="8" width="17.85546875" bestFit="1" customWidth="1"/>
    <col min="9" max="9" width="17.5703125" bestFit="1" customWidth="1"/>
    <col min="10" max="10" width="17.85546875" bestFit="1" customWidth="1"/>
    <col min="11" max="11" width="17.5703125" bestFit="1" customWidth="1"/>
    <col min="12" max="12" width="21.28515625" bestFit="1" customWidth="1"/>
    <col min="14" max="14" width="12.140625" customWidth="1"/>
  </cols>
  <sheetData>
    <row r="2" spans="5:21" x14ac:dyDescent="0.25">
      <c r="H2" t="s">
        <v>19</v>
      </c>
    </row>
    <row r="3" spans="5:21" ht="15.75" thickBot="1" x14ac:dyDescent="0.3">
      <c r="U3" s="26"/>
    </row>
    <row r="4" spans="5:21" ht="15.75" thickBot="1" x14ac:dyDescent="0.3">
      <c r="H4" s="57" t="s">
        <v>10</v>
      </c>
      <c r="I4" s="37" t="s">
        <v>11</v>
      </c>
      <c r="J4" s="37" t="s">
        <v>12</v>
      </c>
      <c r="K4" s="37" t="s">
        <v>13</v>
      </c>
      <c r="L4" s="37" t="s">
        <v>14</v>
      </c>
      <c r="M4" s="58" t="s">
        <v>66</v>
      </c>
      <c r="N4" s="59" t="s">
        <v>67</v>
      </c>
      <c r="O4" s="38"/>
      <c r="R4" s="145"/>
      <c r="S4" s="145"/>
      <c r="U4" s="26"/>
    </row>
    <row r="5" spans="5:21" ht="15" customHeight="1" x14ac:dyDescent="0.25">
      <c r="E5" s="170" t="s">
        <v>15</v>
      </c>
      <c r="F5" s="146" t="s">
        <v>0</v>
      </c>
      <c r="G5" s="44" t="s">
        <v>5</v>
      </c>
      <c r="H5" s="60" t="s">
        <v>343</v>
      </c>
      <c r="I5" s="6" t="s">
        <v>344</v>
      </c>
      <c r="J5" s="6" t="s">
        <v>345</v>
      </c>
      <c r="K5" s="6" t="s">
        <v>346</v>
      </c>
      <c r="L5" s="6" t="s">
        <v>347</v>
      </c>
      <c r="M5" s="39">
        <v>11.6</v>
      </c>
      <c r="N5" s="40">
        <v>44.3</v>
      </c>
      <c r="U5" s="26"/>
    </row>
    <row r="6" spans="5:21" x14ac:dyDescent="0.25">
      <c r="E6" s="171"/>
      <c r="F6" s="147"/>
      <c r="G6" s="45" t="s">
        <v>6</v>
      </c>
      <c r="H6" s="61" t="s">
        <v>348</v>
      </c>
      <c r="I6" s="8" t="s">
        <v>349</v>
      </c>
      <c r="J6" s="8" t="s">
        <v>350</v>
      </c>
      <c r="K6" s="8" t="s">
        <v>351</v>
      </c>
      <c r="L6" s="8" t="s">
        <v>352</v>
      </c>
      <c r="M6" s="1">
        <v>2547.37</v>
      </c>
      <c r="N6" s="41">
        <v>46.3</v>
      </c>
      <c r="U6" s="26"/>
    </row>
    <row r="7" spans="5:21" x14ac:dyDescent="0.25">
      <c r="E7" s="171"/>
      <c r="F7" s="147"/>
      <c r="G7" s="45" t="s">
        <v>7</v>
      </c>
      <c r="H7" s="61" t="s">
        <v>353</v>
      </c>
      <c r="I7" s="8" t="s">
        <v>354</v>
      </c>
      <c r="J7" s="8" t="s">
        <v>355</v>
      </c>
      <c r="K7" s="8" t="s">
        <v>356</v>
      </c>
      <c r="L7" s="8" t="s">
        <v>357</v>
      </c>
      <c r="M7" s="1">
        <v>17.29</v>
      </c>
      <c r="N7" s="41">
        <v>245.7</v>
      </c>
      <c r="U7" s="26"/>
    </row>
    <row r="8" spans="5:21" x14ac:dyDescent="0.25">
      <c r="E8" s="171"/>
      <c r="F8" s="147"/>
      <c r="G8" s="45" t="s">
        <v>8</v>
      </c>
      <c r="H8" s="61" t="s">
        <v>358</v>
      </c>
      <c r="I8" s="8" t="s">
        <v>359</v>
      </c>
      <c r="J8" s="8" t="s">
        <v>360</v>
      </c>
      <c r="K8" s="8" t="s">
        <v>361</v>
      </c>
      <c r="L8" s="8" t="s">
        <v>362</v>
      </c>
      <c r="M8" s="1">
        <v>3.43</v>
      </c>
      <c r="N8" s="41">
        <v>1.2</v>
      </c>
      <c r="U8" s="26"/>
    </row>
    <row r="9" spans="5:21" ht="15.75" thickBot="1" x14ac:dyDescent="0.3">
      <c r="E9" s="171"/>
      <c r="F9" s="148"/>
      <c r="G9" s="46" t="s">
        <v>9</v>
      </c>
      <c r="H9" s="62" t="s">
        <v>363</v>
      </c>
      <c r="I9" s="10" t="s">
        <v>364</v>
      </c>
      <c r="J9" s="10" t="s">
        <v>365</v>
      </c>
      <c r="K9" s="10" t="s">
        <v>366</v>
      </c>
      <c r="L9" s="10" t="s">
        <v>367</v>
      </c>
      <c r="M9" s="42">
        <v>4785.16</v>
      </c>
      <c r="N9" s="43">
        <v>154.30000000000001</v>
      </c>
      <c r="U9" s="26"/>
    </row>
    <row r="10" spans="5:21" ht="15" customHeight="1" x14ac:dyDescent="0.25">
      <c r="E10" s="171"/>
      <c r="F10" s="154" t="s">
        <v>1</v>
      </c>
      <c r="G10" s="47" t="s">
        <v>5</v>
      </c>
      <c r="H10" s="63" t="s">
        <v>41</v>
      </c>
      <c r="I10" s="3" t="s">
        <v>42</v>
      </c>
      <c r="J10" s="3" t="s">
        <v>43</v>
      </c>
      <c r="K10" s="3" t="s">
        <v>44</v>
      </c>
      <c r="L10" s="3" t="s">
        <v>45</v>
      </c>
      <c r="M10" s="3">
        <v>4.8099999999999996</v>
      </c>
      <c r="N10" s="64">
        <v>44.5</v>
      </c>
      <c r="U10" s="26"/>
    </row>
    <row r="11" spans="5:21" x14ac:dyDescent="0.25">
      <c r="E11" s="171"/>
      <c r="F11" s="154"/>
      <c r="G11" s="48" t="s">
        <v>6</v>
      </c>
      <c r="H11" s="65" t="s">
        <v>46</v>
      </c>
      <c r="I11" s="1" t="s">
        <v>47</v>
      </c>
      <c r="J11" s="1" t="s">
        <v>48</v>
      </c>
      <c r="K11" s="1" t="s">
        <v>49</v>
      </c>
      <c r="L11" s="1" t="s">
        <v>50</v>
      </c>
      <c r="M11" s="1">
        <v>4113.25</v>
      </c>
      <c r="N11" s="41">
        <v>8.1</v>
      </c>
      <c r="U11" s="26"/>
    </row>
    <row r="12" spans="5:21" x14ac:dyDescent="0.25">
      <c r="E12" s="171"/>
      <c r="F12" s="154"/>
      <c r="G12" s="48" t="s">
        <v>7</v>
      </c>
      <c r="H12" s="66" t="s">
        <v>51</v>
      </c>
      <c r="I12" s="1" t="s">
        <v>52</v>
      </c>
      <c r="J12" s="1" t="s">
        <v>53</v>
      </c>
      <c r="K12" s="1" t="s">
        <v>54</v>
      </c>
      <c r="L12" s="1" t="s">
        <v>55</v>
      </c>
      <c r="M12" s="1">
        <v>16.399999999999999</v>
      </c>
      <c r="N12" s="41">
        <v>133.30000000000001</v>
      </c>
      <c r="U12" s="26"/>
    </row>
    <row r="13" spans="5:21" x14ac:dyDescent="0.25">
      <c r="E13" s="171"/>
      <c r="F13" s="154"/>
      <c r="G13" s="48" t="s">
        <v>8</v>
      </c>
      <c r="H13" s="66" t="s">
        <v>56</v>
      </c>
      <c r="I13" s="1" t="s">
        <v>57</v>
      </c>
      <c r="J13" s="1" t="s">
        <v>58</v>
      </c>
      <c r="K13" s="1" t="s">
        <v>59</v>
      </c>
      <c r="L13" s="1" t="s">
        <v>60</v>
      </c>
      <c r="M13" s="1">
        <v>3.86</v>
      </c>
      <c r="N13" s="41">
        <v>40.9</v>
      </c>
      <c r="U13" s="26"/>
    </row>
    <row r="14" spans="5:21" ht="15.75" thickBot="1" x14ac:dyDescent="0.3">
      <c r="E14" s="171"/>
      <c r="F14" s="154"/>
      <c r="G14" s="49" t="s">
        <v>9</v>
      </c>
      <c r="H14" s="67" t="s">
        <v>61</v>
      </c>
      <c r="I14" s="4" t="s">
        <v>62</v>
      </c>
      <c r="J14" s="4" t="s">
        <v>63</v>
      </c>
      <c r="K14" s="4" t="s">
        <v>64</v>
      </c>
      <c r="L14" s="4" t="s">
        <v>65</v>
      </c>
      <c r="M14" s="4">
        <v>4269.92</v>
      </c>
      <c r="N14" s="68">
        <v>0</v>
      </c>
      <c r="U14" s="26"/>
    </row>
    <row r="15" spans="5:21" x14ac:dyDescent="0.25">
      <c r="E15" s="171"/>
      <c r="F15" s="155" t="s">
        <v>2</v>
      </c>
      <c r="G15" s="44" t="s">
        <v>5</v>
      </c>
      <c r="H15" s="60" t="s">
        <v>68</v>
      </c>
      <c r="I15" s="6" t="s">
        <v>69</v>
      </c>
      <c r="J15" s="6" t="s">
        <v>70</v>
      </c>
      <c r="K15" s="6" t="s">
        <v>71</v>
      </c>
      <c r="L15" s="6" t="s">
        <v>72</v>
      </c>
      <c r="M15" s="39">
        <v>21.62</v>
      </c>
      <c r="N15" s="40">
        <v>240.6</v>
      </c>
      <c r="U15" s="26"/>
    </row>
    <row r="16" spans="5:21" x14ac:dyDescent="0.25">
      <c r="E16" s="171"/>
      <c r="F16" s="156"/>
      <c r="G16" s="45" t="s">
        <v>6</v>
      </c>
      <c r="H16" s="61" t="s">
        <v>73</v>
      </c>
      <c r="I16" s="8" t="s">
        <v>74</v>
      </c>
      <c r="J16" s="8" t="s">
        <v>75</v>
      </c>
      <c r="K16" s="8" t="s">
        <v>76</v>
      </c>
      <c r="L16" s="8" t="s">
        <v>77</v>
      </c>
      <c r="M16" s="1">
        <v>839.5</v>
      </c>
      <c r="N16" s="41">
        <v>357.3</v>
      </c>
      <c r="U16" s="26"/>
    </row>
    <row r="17" spans="5:21" ht="15" customHeight="1" x14ac:dyDescent="0.25">
      <c r="E17" s="171"/>
      <c r="F17" s="156"/>
      <c r="G17" s="45" t="s">
        <v>7</v>
      </c>
      <c r="H17" s="61" t="s">
        <v>78</v>
      </c>
      <c r="I17" s="8" t="s">
        <v>79</v>
      </c>
      <c r="J17" s="8" t="s">
        <v>80</v>
      </c>
      <c r="K17" s="8" t="s">
        <v>81</v>
      </c>
      <c r="L17" s="8" t="s">
        <v>82</v>
      </c>
      <c r="M17" s="1">
        <v>134.49</v>
      </c>
      <c r="N17" s="41">
        <v>367.7</v>
      </c>
      <c r="U17" s="26"/>
    </row>
    <row r="18" spans="5:21" x14ac:dyDescent="0.25">
      <c r="E18" s="171"/>
      <c r="F18" s="156"/>
      <c r="G18" s="45" t="s">
        <v>18</v>
      </c>
      <c r="H18" s="61" t="s">
        <v>83</v>
      </c>
      <c r="I18" s="8" t="s">
        <v>84</v>
      </c>
      <c r="J18" s="8" t="s">
        <v>85</v>
      </c>
      <c r="K18" s="8" t="s">
        <v>86</v>
      </c>
      <c r="L18" s="8" t="s">
        <v>87</v>
      </c>
      <c r="M18" s="1">
        <v>20.62</v>
      </c>
      <c r="N18" s="41">
        <v>376.5</v>
      </c>
      <c r="U18" s="26"/>
    </row>
    <row r="19" spans="5:21" ht="15.75" thickBot="1" x14ac:dyDescent="0.3">
      <c r="E19" s="171"/>
      <c r="F19" s="157"/>
      <c r="G19" s="46" t="s">
        <v>9</v>
      </c>
      <c r="H19" s="62" t="s">
        <v>88</v>
      </c>
      <c r="I19" s="10" t="s">
        <v>89</v>
      </c>
      <c r="J19" s="10" t="s">
        <v>90</v>
      </c>
      <c r="K19" s="10" t="s">
        <v>91</v>
      </c>
      <c r="L19" s="10" t="s">
        <v>92</v>
      </c>
      <c r="M19" s="42">
        <v>270.85000000000002</v>
      </c>
      <c r="N19" s="43">
        <v>365.8</v>
      </c>
      <c r="U19" s="26"/>
    </row>
    <row r="20" spans="5:21" x14ac:dyDescent="0.25">
      <c r="E20" s="171"/>
      <c r="F20" s="187" t="s">
        <v>3</v>
      </c>
      <c r="G20" s="47" t="s">
        <v>5</v>
      </c>
      <c r="H20" s="63" t="s">
        <v>93</v>
      </c>
      <c r="I20" s="3" t="s">
        <v>94</v>
      </c>
      <c r="J20" s="3" t="s">
        <v>95</v>
      </c>
      <c r="K20" s="3" t="s">
        <v>96</v>
      </c>
      <c r="L20" s="3" t="s">
        <v>97</v>
      </c>
      <c r="M20" s="3">
        <v>68.709999999999994</v>
      </c>
      <c r="N20" s="64">
        <v>228.6</v>
      </c>
    </row>
    <row r="21" spans="5:21" x14ac:dyDescent="0.25">
      <c r="E21" s="171"/>
      <c r="F21" s="187"/>
      <c r="G21" s="48" t="s">
        <v>6</v>
      </c>
      <c r="H21" s="66" t="s">
        <v>98</v>
      </c>
      <c r="I21" s="1" t="s">
        <v>99</v>
      </c>
      <c r="J21" s="1" t="s">
        <v>100</v>
      </c>
      <c r="K21" s="1" t="s">
        <v>101</v>
      </c>
      <c r="L21" s="1" t="s">
        <v>102</v>
      </c>
      <c r="M21" s="1">
        <v>1773.81</v>
      </c>
      <c r="N21" s="41">
        <v>261.89999999999998</v>
      </c>
    </row>
    <row r="22" spans="5:21" ht="15" customHeight="1" x14ac:dyDescent="0.25">
      <c r="E22" s="171"/>
      <c r="F22" s="187"/>
      <c r="G22" s="48" t="s">
        <v>7</v>
      </c>
      <c r="H22" s="66" t="s">
        <v>103</v>
      </c>
      <c r="I22" s="1" t="s">
        <v>104</v>
      </c>
      <c r="J22" s="1" t="s">
        <v>105</v>
      </c>
      <c r="K22" s="1" t="s">
        <v>106</v>
      </c>
      <c r="L22" s="1" t="s">
        <v>107</v>
      </c>
      <c r="M22" s="1">
        <v>216.34</v>
      </c>
      <c r="N22" s="41">
        <v>335.1</v>
      </c>
    </row>
    <row r="23" spans="5:21" ht="15" customHeight="1" x14ac:dyDescent="0.25">
      <c r="E23" s="171"/>
      <c r="F23" s="187"/>
      <c r="G23" s="48" t="s">
        <v>18</v>
      </c>
      <c r="H23" s="66" t="s">
        <v>108</v>
      </c>
      <c r="I23" s="1" t="s">
        <v>109</v>
      </c>
      <c r="J23" s="1" t="s">
        <v>110</v>
      </c>
      <c r="K23" s="1" t="s">
        <v>111</v>
      </c>
      <c r="L23" s="1" t="s">
        <v>112</v>
      </c>
      <c r="M23" s="1">
        <v>68.47</v>
      </c>
      <c r="N23" s="41">
        <v>350.6</v>
      </c>
    </row>
    <row r="24" spans="5:21" ht="15.75" thickBot="1" x14ac:dyDescent="0.3">
      <c r="E24" s="171"/>
      <c r="F24" s="187"/>
      <c r="G24" s="49" t="s">
        <v>9</v>
      </c>
      <c r="H24" s="67" t="s">
        <v>113</v>
      </c>
      <c r="I24" s="4" t="s">
        <v>114</v>
      </c>
      <c r="J24" s="4" t="s">
        <v>115</v>
      </c>
      <c r="K24" s="4" t="s">
        <v>116</v>
      </c>
      <c r="L24" s="4" t="s">
        <v>117</v>
      </c>
      <c r="M24" s="4">
        <v>221.06</v>
      </c>
      <c r="N24" s="68">
        <v>376.2</v>
      </c>
    </row>
    <row r="25" spans="5:21" x14ac:dyDescent="0.25">
      <c r="E25" s="171"/>
      <c r="F25" s="146" t="s">
        <v>4</v>
      </c>
      <c r="G25" s="44" t="s">
        <v>5</v>
      </c>
      <c r="H25" s="60" t="s">
        <v>243</v>
      </c>
      <c r="I25" s="6" t="s">
        <v>244</v>
      </c>
      <c r="J25" s="6" t="s">
        <v>245</v>
      </c>
      <c r="K25" s="6" t="s">
        <v>246</v>
      </c>
      <c r="L25" s="6" t="s">
        <v>247</v>
      </c>
      <c r="M25" s="39">
        <v>95.37</v>
      </c>
      <c r="N25" s="40">
        <v>121.7</v>
      </c>
    </row>
    <row r="26" spans="5:21" x14ac:dyDescent="0.25">
      <c r="E26" s="171"/>
      <c r="F26" s="147"/>
      <c r="G26" s="45" t="s">
        <v>6</v>
      </c>
      <c r="H26" s="61" t="s">
        <v>248</v>
      </c>
      <c r="I26" s="8" t="s">
        <v>249</v>
      </c>
      <c r="J26" s="8" t="s">
        <v>250</v>
      </c>
      <c r="K26" s="8" t="s">
        <v>251</v>
      </c>
      <c r="L26" s="8" t="s">
        <v>252</v>
      </c>
      <c r="M26" s="1">
        <v>3564.22</v>
      </c>
      <c r="N26" s="41">
        <v>0</v>
      </c>
    </row>
    <row r="27" spans="5:21" x14ac:dyDescent="0.25">
      <c r="E27" s="171"/>
      <c r="F27" s="147"/>
      <c r="G27" s="45" t="s">
        <v>7</v>
      </c>
      <c r="H27" s="61" t="s">
        <v>253</v>
      </c>
      <c r="I27" s="8" t="s">
        <v>254</v>
      </c>
      <c r="J27" s="8" t="s">
        <v>255</v>
      </c>
      <c r="K27" s="8" t="s">
        <v>256</v>
      </c>
      <c r="L27" s="8" t="s">
        <v>257</v>
      </c>
      <c r="M27" s="1">
        <v>515.9</v>
      </c>
      <c r="N27" s="41">
        <v>1.5</v>
      </c>
    </row>
    <row r="28" spans="5:21" ht="15" customHeight="1" x14ac:dyDescent="0.25">
      <c r="E28" s="171"/>
      <c r="F28" s="147"/>
      <c r="G28" s="45" t="s">
        <v>8</v>
      </c>
      <c r="H28" s="61" t="s">
        <v>258</v>
      </c>
      <c r="I28" s="8" t="s">
        <v>259</v>
      </c>
      <c r="J28" s="8" t="s">
        <v>260</v>
      </c>
      <c r="K28" s="8" t="s">
        <v>261</v>
      </c>
      <c r="L28" s="8" t="s">
        <v>262</v>
      </c>
      <c r="M28" s="1">
        <v>84.7</v>
      </c>
      <c r="N28" s="41">
        <v>0.2</v>
      </c>
    </row>
    <row r="29" spans="5:21" ht="15.75" thickBot="1" x14ac:dyDescent="0.3">
      <c r="E29" s="172"/>
      <c r="F29" s="148"/>
      <c r="G29" s="46" t="s">
        <v>9</v>
      </c>
      <c r="H29" s="62" t="s">
        <v>263</v>
      </c>
      <c r="I29" s="10" t="s">
        <v>264</v>
      </c>
      <c r="J29" s="10" t="s">
        <v>265</v>
      </c>
      <c r="K29" s="10" t="s">
        <v>266</v>
      </c>
      <c r="L29" s="10" t="s">
        <v>267</v>
      </c>
      <c r="M29" s="42">
        <v>936.53</v>
      </c>
      <c r="N29" s="43">
        <v>13.5</v>
      </c>
    </row>
    <row r="30" spans="5:21" ht="15.75" thickBot="1" x14ac:dyDescent="0.3">
      <c r="E30" s="1"/>
      <c r="F30" s="5"/>
      <c r="G30" s="50"/>
      <c r="H30" s="71"/>
      <c r="I30" s="5"/>
      <c r="J30" s="5"/>
      <c r="K30" s="5"/>
      <c r="L30" s="5"/>
      <c r="M30" s="5"/>
      <c r="N30" s="72"/>
    </row>
    <row r="31" spans="5:21" ht="15" customHeight="1" x14ac:dyDescent="0.25">
      <c r="E31" s="173" t="s">
        <v>16</v>
      </c>
      <c r="F31" s="189" t="s">
        <v>0</v>
      </c>
      <c r="G31" s="51" t="s">
        <v>5</v>
      </c>
      <c r="H31" s="73" t="s">
        <v>293</v>
      </c>
      <c r="I31" s="12" t="s">
        <v>294</v>
      </c>
      <c r="J31" s="12" t="s">
        <v>295</v>
      </c>
      <c r="K31" s="12" t="s">
        <v>296</v>
      </c>
      <c r="L31" s="12" t="s">
        <v>297</v>
      </c>
      <c r="M31" s="39">
        <v>1.78</v>
      </c>
      <c r="N31" s="40">
        <v>24</v>
      </c>
    </row>
    <row r="32" spans="5:21" x14ac:dyDescent="0.25">
      <c r="E32" s="174"/>
      <c r="F32" s="190"/>
      <c r="G32" s="52" t="s">
        <v>6</v>
      </c>
      <c r="H32" s="69" t="s">
        <v>298</v>
      </c>
      <c r="I32" s="14" t="s">
        <v>299</v>
      </c>
      <c r="J32" s="14" t="s">
        <v>300</v>
      </c>
      <c r="K32" s="14" t="s">
        <v>301</v>
      </c>
      <c r="L32" s="14" t="s">
        <v>302</v>
      </c>
      <c r="M32" s="1">
        <v>374.85</v>
      </c>
      <c r="N32" s="41">
        <v>10.8</v>
      </c>
    </row>
    <row r="33" spans="5:14" x14ac:dyDescent="0.25">
      <c r="E33" s="174"/>
      <c r="F33" s="190"/>
      <c r="G33" s="52" t="s">
        <v>7</v>
      </c>
      <c r="H33" s="69" t="s">
        <v>303</v>
      </c>
      <c r="I33" s="14" t="s">
        <v>304</v>
      </c>
      <c r="J33" s="14" t="s">
        <v>305</v>
      </c>
      <c r="K33" s="14" t="s">
        <v>306</v>
      </c>
      <c r="L33" s="14" t="s">
        <v>307</v>
      </c>
      <c r="M33" s="1">
        <v>5.0199999999999996</v>
      </c>
      <c r="N33" s="41">
        <v>128.80000000000001</v>
      </c>
    </row>
    <row r="34" spans="5:14" ht="15" customHeight="1" x14ac:dyDescent="0.25">
      <c r="E34" s="174"/>
      <c r="F34" s="190"/>
      <c r="G34" s="52" t="s">
        <v>8</v>
      </c>
      <c r="H34" s="69" t="s">
        <v>308</v>
      </c>
      <c r="I34" s="14" t="s">
        <v>309</v>
      </c>
      <c r="J34" s="14" t="s">
        <v>310</v>
      </c>
      <c r="K34" s="14" t="s">
        <v>311</v>
      </c>
      <c r="L34" s="14" t="s">
        <v>312</v>
      </c>
      <c r="M34" s="1">
        <v>0.98</v>
      </c>
      <c r="N34" s="41">
        <v>0</v>
      </c>
    </row>
    <row r="35" spans="5:14" ht="15.75" customHeight="1" thickBot="1" x14ac:dyDescent="0.3">
      <c r="E35" s="174"/>
      <c r="F35" s="191"/>
      <c r="G35" s="53" t="s">
        <v>9</v>
      </c>
      <c r="H35" s="74" t="s">
        <v>313</v>
      </c>
      <c r="I35" s="16" t="s">
        <v>314</v>
      </c>
      <c r="J35" s="16" t="s">
        <v>315</v>
      </c>
      <c r="K35" s="16" t="s">
        <v>316</v>
      </c>
      <c r="L35" s="16" t="s">
        <v>317</v>
      </c>
      <c r="M35" s="42">
        <v>2014.88</v>
      </c>
      <c r="N35" s="43">
        <v>195.3</v>
      </c>
    </row>
    <row r="36" spans="5:14" x14ac:dyDescent="0.25">
      <c r="E36" s="174"/>
      <c r="F36" s="154" t="s">
        <v>1</v>
      </c>
      <c r="G36" s="47" t="s">
        <v>5</v>
      </c>
      <c r="H36" s="63" t="s">
        <v>318</v>
      </c>
      <c r="I36" s="3" t="s">
        <v>319</v>
      </c>
      <c r="J36" s="3" t="s">
        <v>320</v>
      </c>
      <c r="K36" s="3" t="s">
        <v>321</v>
      </c>
      <c r="L36" s="3" t="s">
        <v>322</v>
      </c>
      <c r="M36" s="3">
        <v>1.87</v>
      </c>
      <c r="N36" s="64">
        <v>23.4</v>
      </c>
    </row>
    <row r="37" spans="5:14" x14ac:dyDescent="0.25">
      <c r="E37" s="174"/>
      <c r="F37" s="154"/>
      <c r="G37" s="48" t="s">
        <v>6</v>
      </c>
      <c r="H37" s="66" t="s">
        <v>323</v>
      </c>
      <c r="I37" s="1" t="s">
        <v>324</v>
      </c>
      <c r="J37" s="1" t="s">
        <v>325</v>
      </c>
      <c r="K37" s="1" t="s">
        <v>326</v>
      </c>
      <c r="L37" s="1" t="s">
        <v>327</v>
      </c>
      <c r="M37" s="1">
        <v>693.15</v>
      </c>
      <c r="N37" s="41">
        <v>9.9</v>
      </c>
    </row>
    <row r="38" spans="5:14" x14ac:dyDescent="0.25">
      <c r="E38" s="174"/>
      <c r="F38" s="154"/>
      <c r="G38" s="48" t="s">
        <v>7</v>
      </c>
      <c r="H38" s="66" t="s">
        <v>328</v>
      </c>
      <c r="I38" s="1" t="s">
        <v>329</v>
      </c>
      <c r="J38" s="1" t="s">
        <v>330</v>
      </c>
      <c r="K38" s="1" t="s">
        <v>331</v>
      </c>
      <c r="L38" s="1" t="s">
        <v>332</v>
      </c>
      <c r="M38" s="1">
        <v>4.8499999999999996</v>
      </c>
      <c r="N38" s="41">
        <v>129.80000000000001</v>
      </c>
    </row>
    <row r="39" spans="5:14" x14ac:dyDescent="0.25">
      <c r="E39" s="174"/>
      <c r="F39" s="154"/>
      <c r="G39" s="48" t="s">
        <v>8</v>
      </c>
      <c r="H39" s="66" t="s">
        <v>333</v>
      </c>
      <c r="I39" s="1" t="s">
        <v>334</v>
      </c>
      <c r="J39" s="1" t="s">
        <v>335</v>
      </c>
      <c r="K39" s="1" t="s">
        <v>336</v>
      </c>
      <c r="L39" s="1" t="s">
        <v>337</v>
      </c>
      <c r="M39" s="1">
        <v>0.96</v>
      </c>
      <c r="N39" s="41">
        <v>2.6</v>
      </c>
    </row>
    <row r="40" spans="5:14" ht="15.75" customHeight="1" thickBot="1" x14ac:dyDescent="0.3">
      <c r="E40" s="174"/>
      <c r="F40" s="154"/>
      <c r="G40" s="49" t="s">
        <v>9</v>
      </c>
      <c r="H40" s="67" t="s">
        <v>338</v>
      </c>
      <c r="I40" s="4" t="s">
        <v>339</v>
      </c>
      <c r="J40" s="4" t="s">
        <v>340</v>
      </c>
      <c r="K40" s="4" t="s">
        <v>341</v>
      </c>
      <c r="L40" s="4" t="s">
        <v>342</v>
      </c>
      <c r="M40" s="4">
        <v>1694.2</v>
      </c>
      <c r="N40" s="68">
        <v>194.6</v>
      </c>
    </row>
    <row r="41" spans="5:14" ht="15" customHeight="1" x14ac:dyDescent="0.25">
      <c r="E41" s="174"/>
      <c r="F41" s="192" t="s">
        <v>2</v>
      </c>
      <c r="G41" s="51" t="s">
        <v>5</v>
      </c>
      <c r="H41" s="75" t="s">
        <v>143</v>
      </c>
      <c r="I41" s="12" t="s">
        <v>144</v>
      </c>
      <c r="J41" s="12" t="s">
        <v>145</v>
      </c>
      <c r="K41" s="12" t="s">
        <v>146</v>
      </c>
      <c r="L41" s="12" t="s">
        <v>147</v>
      </c>
      <c r="M41" s="39">
        <v>8.69</v>
      </c>
      <c r="N41" s="40">
        <v>76.8</v>
      </c>
    </row>
    <row r="42" spans="5:14" x14ac:dyDescent="0.25">
      <c r="E42" s="174"/>
      <c r="F42" s="193"/>
      <c r="G42" s="52" t="s">
        <v>6</v>
      </c>
      <c r="H42" s="69" t="s">
        <v>148</v>
      </c>
      <c r="I42" s="14" t="s">
        <v>149</v>
      </c>
      <c r="J42" s="14" t="s">
        <v>150</v>
      </c>
      <c r="K42" s="14" t="s">
        <v>151</v>
      </c>
      <c r="L42" s="14" t="s">
        <v>152</v>
      </c>
      <c r="M42" s="1">
        <v>139.9</v>
      </c>
      <c r="N42" s="41">
        <v>187.4</v>
      </c>
    </row>
    <row r="43" spans="5:14" ht="15" customHeight="1" x14ac:dyDescent="0.25">
      <c r="E43" s="174"/>
      <c r="F43" s="193"/>
      <c r="G43" s="52" t="s">
        <v>7</v>
      </c>
      <c r="H43" s="69" t="s">
        <v>153</v>
      </c>
      <c r="I43" s="14" t="s">
        <v>154</v>
      </c>
      <c r="J43" s="14" t="s">
        <v>155</v>
      </c>
      <c r="K43" s="14" t="s">
        <v>156</v>
      </c>
      <c r="L43" s="14" t="s">
        <v>157</v>
      </c>
      <c r="M43" s="1">
        <v>62.1</v>
      </c>
      <c r="N43" s="41">
        <v>202.5</v>
      </c>
    </row>
    <row r="44" spans="5:14" x14ac:dyDescent="0.25">
      <c r="E44" s="174"/>
      <c r="F44" s="193"/>
      <c r="G44" s="52" t="s">
        <v>18</v>
      </c>
      <c r="H44" s="69" t="s">
        <v>158</v>
      </c>
      <c r="I44" s="14" t="s">
        <v>159</v>
      </c>
      <c r="J44" s="14" t="s">
        <v>160</v>
      </c>
      <c r="K44" s="14" t="s">
        <v>161</v>
      </c>
      <c r="L44" s="14" t="s">
        <v>162</v>
      </c>
      <c r="M44" s="1">
        <v>8.23</v>
      </c>
      <c r="N44" s="41">
        <v>211.8</v>
      </c>
    </row>
    <row r="45" spans="5:14" ht="15.75" customHeight="1" thickBot="1" x14ac:dyDescent="0.3">
      <c r="E45" s="174"/>
      <c r="F45" s="194"/>
      <c r="G45" s="53" t="s">
        <v>9</v>
      </c>
      <c r="H45" s="74" t="s">
        <v>163</v>
      </c>
      <c r="I45" s="16" t="s">
        <v>164</v>
      </c>
      <c r="J45" s="16" t="s">
        <v>165</v>
      </c>
      <c r="K45" s="16" t="s">
        <v>166</v>
      </c>
      <c r="L45" s="16" t="s">
        <v>167</v>
      </c>
      <c r="M45" s="42">
        <v>311.61</v>
      </c>
      <c r="N45" s="43">
        <v>227.5</v>
      </c>
    </row>
    <row r="46" spans="5:14" ht="15" customHeight="1" x14ac:dyDescent="0.25">
      <c r="E46" s="174"/>
      <c r="F46" s="187" t="s">
        <v>3</v>
      </c>
      <c r="G46" s="47" t="s">
        <v>5</v>
      </c>
      <c r="H46" s="63" t="s">
        <v>118</v>
      </c>
      <c r="I46" s="3" t="s">
        <v>119</v>
      </c>
      <c r="J46" s="3" t="s">
        <v>120</v>
      </c>
      <c r="K46" s="3" t="s">
        <v>121</v>
      </c>
      <c r="L46" s="3" t="s">
        <v>122</v>
      </c>
      <c r="M46" s="3">
        <v>27.08</v>
      </c>
      <c r="N46" s="64">
        <v>88.3</v>
      </c>
    </row>
    <row r="47" spans="5:14" x14ac:dyDescent="0.25">
      <c r="E47" s="174"/>
      <c r="F47" s="187"/>
      <c r="G47" s="48" t="s">
        <v>6</v>
      </c>
      <c r="H47" s="66" t="s">
        <v>123</v>
      </c>
      <c r="I47" s="1" t="s">
        <v>124</v>
      </c>
      <c r="J47" s="1" t="s">
        <v>125</v>
      </c>
      <c r="K47" s="1" t="s">
        <v>126</v>
      </c>
      <c r="L47" s="1" t="s">
        <v>127</v>
      </c>
      <c r="M47" s="1">
        <v>156.94999999999999</v>
      </c>
      <c r="N47" s="41">
        <v>169.7</v>
      </c>
    </row>
    <row r="48" spans="5:14" x14ac:dyDescent="0.25">
      <c r="E48" s="174"/>
      <c r="F48" s="187"/>
      <c r="G48" s="48" t="s">
        <v>7</v>
      </c>
      <c r="H48" s="66" t="s">
        <v>128</v>
      </c>
      <c r="I48" s="1" t="s">
        <v>129</v>
      </c>
      <c r="J48" s="1" t="s">
        <v>130</v>
      </c>
      <c r="K48" s="1" t="s">
        <v>131</v>
      </c>
      <c r="L48" s="1" t="s">
        <v>132</v>
      </c>
      <c r="M48" s="1">
        <v>88.68</v>
      </c>
      <c r="N48" s="41">
        <v>146.69999999999999</v>
      </c>
    </row>
    <row r="49" spans="5:14" x14ac:dyDescent="0.25">
      <c r="E49" s="174"/>
      <c r="F49" s="187"/>
      <c r="G49" s="48" t="s">
        <v>18</v>
      </c>
      <c r="H49" s="66" t="s">
        <v>133</v>
      </c>
      <c r="I49" s="1" t="s">
        <v>134</v>
      </c>
      <c r="J49" s="1" t="s">
        <v>135</v>
      </c>
      <c r="K49" s="1" t="s">
        <v>136</v>
      </c>
      <c r="L49" s="1" t="s">
        <v>137</v>
      </c>
      <c r="M49" s="1">
        <v>26.9</v>
      </c>
      <c r="N49" s="41">
        <v>139.9</v>
      </c>
    </row>
    <row r="50" spans="5:14" ht="15.75" thickBot="1" x14ac:dyDescent="0.3">
      <c r="E50" s="174"/>
      <c r="F50" s="187"/>
      <c r="G50" s="49" t="s">
        <v>9</v>
      </c>
      <c r="H50" s="67" t="s">
        <v>138</v>
      </c>
      <c r="I50" s="4" t="s">
        <v>139</v>
      </c>
      <c r="J50" s="4" t="s">
        <v>140</v>
      </c>
      <c r="K50" s="4" t="s">
        <v>141</v>
      </c>
      <c r="L50" s="4" t="s">
        <v>142</v>
      </c>
      <c r="M50" s="4">
        <v>140.72999999999999</v>
      </c>
      <c r="N50" s="68">
        <v>155.69999999999999</v>
      </c>
    </row>
    <row r="51" spans="5:14" x14ac:dyDescent="0.25">
      <c r="E51" s="174"/>
      <c r="F51" s="189" t="s">
        <v>4</v>
      </c>
      <c r="G51" s="51" t="s">
        <v>5</v>
      </c>
      <c r="H51" s="75" t="s">
        <v>268</v>
      </c>
      <c r="I51" s="12" t="s">
        <v>269</v>
      </c>
      <c r="J51" s="12" t="s">
        <v>270</v>
      </c>
      <c r="K51" s="12" t="s">
        <v>271</v>
      </c>
      <c r="L51" s="12" t="s">
        <v>272</v>
      </c>
      <c r="M51" s="39">
        <v>28.72</v>
      </c>
      <c r="N51" s="40">
        <v>60.9</v>
      </c>
    </row>
    <row r="52" spans="5:14" ht="15.75" customHeight="1" x14ac:dyDescent="0.25">
      <c r="E52" s="174"/>
      <c r="F52" s="190"/>
      <c r="G52" s="52" t="s">
        <v>6</v>
      </c>
      <c r="H52" s="69" t="s">
        <v>273</v>
      </c>
      <c r="I52" s="14" t="s">
        <v>274</v>
      </c>
      <c r="J52" s="14" t="s">
        <v>275</v>
      </c>
      <c r="K52" s="14" t="s">
        <v>276</v>
      </c>
      <c r="L52" s="14" t="s">
        <v>277</v>
      </c>
      <c r="M52" s="1">
        <v>837.18</v>
      </c>
      <c r="N52" s="41">
        <v>48</v>
      </c>
    </row>
    <row r="53" spans="5:14" x14ac:dyDescent="0.25">
      <c r="E53" s="174"/>
      <c r="F53" s="190"/>
      <c r="G53" s="52" t="s">
        <v>7</v>
      </c>
      <c r="H53" s="69" t="s">
        <v>278</v>
      </c>
      <c r="I53" s="14" t="s">
        <v>279</v>
      </c>
      <c r="J53" s="14" t="s">
        <v>280</v>
      </c>
      <c r="K53" s="14" t="s">
        <v>281</v>
      </c>
      <c r="L53" s="14" t="s">
        <v>282</v>
      </c>
      <c r="M53" s="1">
        <v>296.98</v>
      </c>
      <c r="N53" s="41">
        <v>26.4</v>
      </c>
    </row>
    <row r="54" spans="5:14" x14ac:dyDescent="0.25">
      <c r="E54" s="174"/>
      <c r="F54" s="190"/>
      <c r="G54" s="52" t="s">
        <v>8</v>
      </c>
      <c r="H54" s="69" t="s">
        <v>283</v>
      </c>
      <c r="I54" s="14" t="s">
        <v>284</v>
      </c>
      <c r="J54" s="14" t="s">
        <v>285</v>
      </c>
      <c r="K54" s="14" t="s">
        <v>286</v>
      </c>
      <c r="L54" s="14" t="s">
        <v>287</v>
      </c>
      <c r="M54" s="1">
        <v>24.86</v>
      </c>
      <c r="N54" s="41">
        <v>0</v>
      </c>
    </row>
    <row r="55" spans="5:14" ht="15.75" thickBot="1" x14ac:dyDescent="0.3">
      <c r="E55" s="175"/>
      <c r="F55" s="191"/>
      <c r="G55" s="53" t="s">
        <v>9</v>
      </c>
      <c r="H55" s="74" t="s">
        <v>288</v>
      </c>
      <c r="I55" s="16" t="s">
        <v>289</v>
      </c>
      <c r="J55" s="16" t="s">
        <v>290</v>
      </c>
      <c r="K55" s="16" t="s">
        <v>291</v>
      </c>
      <c r="L55" s="16" t="s">
        <v>292</v>
      </c>
      <c r="M55" s="42">
        <v>330.41</v>
      </c>
      <c r="N55" s="43">
        <v>13.5</v>
      </c>
    </row>
    <row r="56" spans="5:14" ht="15.75" thickBot="1" x14ac:dyDescent="0.3">
      <c r="E56" s="1"/>
      <c r="F56" s="5"/>
      <c r="G56" s="50"/>
      <c r="H56" s="71"/>
      <c r="I56" s="5"/>
      <c r="J56" s="5"/>
      <c r="K56" s="5"/>
      <c r="L56" s="5"/>
      <c r="M56" s="5"/>
      <c r="N56" s="72"/>
    </row>
    <row r="57" spans="5:14" ht="15" customHeight="1" x14ac:dyDescent="0.25">
      <c r="E57" s="176" t="s">
        <v>17</v>
      </c>
      <c r="F57" s="188" t="s">
        <v>0</v>
      </c>
      <c r="G57" s="54" t="s">
        <v>5</v>
      </c>
      <c r="H57" s="76" t="s">
        <v>368</v>
      </c>
      <c r="I57" s="18" t="s">
        <v>369</v>
      </c>
      <c r="J57" s="18" t="s">
        <v>370</v>
      </c>
      <c r="K57" s="18" t="s">
        <v>371</v>
      </c>
      <c r="L57" s="77" t="s">
        <v>372</v>
      </c>
      <c r="M57" s="78">
        <v>2.74</v>
      </c>
      <c r="N57" s="40">
        <v>31.4</v>
      </c>
    </row>
    <row r="58" spans="5:14" x14ac:dyDescent="0.25">
      <c r="E58" s="177"/>
      <c r="F58" s="180"/>
      <c r="G58" s="55" t="s">
        <v>6</v>
      </c>
      <c r="H58" s="65" t="s">
        <v>373</v>
      </c>
      <c r="I58" s="20" t="s">
        <v>374</v>
      </c>
      <c r="J58" s="20" t="s">
        <v>375</v>
      </c>
      <c r="K58" s="20" t="s">
        <v>376</v>
      </c>
      <c r="L58" s="20" t="s">
        <v>377</v>
      </c>
      <c r="M58" s="1">
        <v>71.709999999999994</v>
      </c>
      <c r="N58" s="41">
        <v>24.3</v>
      </c>
    </row>
    <row r="59" spans="5:14" x14ac:dyDescent="0.25">
      <c r="E59" s="177"/>
      <c r="F59" s="180"/>
      <c r="G59" s="55" t="s">
        <v>7</v>
      </c>
      <c r="H59" s="65" t="s">
        <v>378</v>
      </c>
      <c r="I59" s="20" t="s">
        <v>379</v>
      </c>
      <c r="J59" s="20" t="s">
        <v>380</v>
      </c>
      <c r="K59" s="20" t="s">
        <v>381</v>
      </c>
      <c r="L59" s="20" t="s">
        <v>382</v>
      </c>
      <c r="M59" s="1">
        <v>3.07</v>
      </c>
      <c r="N59" s="41">
        <v>26.5</v>
      </c>
    </row>
    <row r="60" spans="5:14" x14ac:dyDescent="0.25">
      <c r="E60" s="177"/>
      <c r="F60" s="180"/>
      <c r="G60" s="55" t="s">
        <v>8</v>
      </c>
      <c r="H60" s="65" t="s">
        <v>383</v>
      </c>
      <c r="I60" s="20" t="s">
        <v>384</v>
      </c>
      <c r="J60" s="20" t="s">
        <v>385</v>
      </c>
      <c r="K60" s="20" t="s">
        <v>386</v>
      </c>
      <c r="L60" s="20" t="s">
        <v>387</v>
      </c>
      <c r="M60" s="1">
        <v>1.62</v>
      </c>
      <c r="N60" s="41">
        <v>13.3</v>
      </c>
    </row>
    <row r="61" spans="5:14" ht="15.75" thickBot="1" x14ac:dyDescent="0.3">
      <c r="E61" s="177"/>
      <c r="F61" s="181"/>
      <c r="G61" s="56" t="s">
        <v>9</v>
      </c>
      <c r="H61" s="70" t="s">
        <v>388</v>
      </c>
      <c r="I61" s="22" t="s">
        <v>389</v>
      </c>
      <c r="J61" s="22" t="s">
        <v>390</v>
      </c>
      <c r="K61" s="22" t="s">
        <v>391</v>
      </c>
      <c r="L61" s="22" t="s">
        <v>392</v>
      </c>
      <c r="M61" s="42">
        <v>632.36</v>
      </c>
      <c r="N61" s="43">
        <v>262.8</v>
      </c>
    </row>
    <row r="62" spans="5:14" x14ac:dyDescent="0.25">
      <c r="E62" s="177"/>
      <c r="F62" s="182" t="s">
        <v>1</v>
      </c>
      <c r="G62" s="47" t="s">
        <v>5</v>
      </c>
      <c r="H62" s="63" t="s">
        <v>393</v>
      </c>
      <c r="I62" s="3" t="s">
        <v>394</v>
      </c>
      <c r="J62" s="3" t="s">
        <v>395</v>
      </c>
      <c r="K62" s="3" t="s">
        <v>396</v>
      </c>
      <c r="L62" s="3" t="s">
        <v>397</v>
      </c>
      <c r="M62" s="3">
        <v>2.17</v>
      </c>
      <c r="N62" s="64">
        <v>32.9</v>
      </c>
    </row>
    <row r="63" spans="5:14" x14ac:dyDescent="0.25">
      <c r="E63" s="177"/>
      <c r="F63" s="158"/>
      <c r="G63" s="48" t="s">
        <v>6</v>
      </c>
      <c r="H63" s="66" t="s">
        <v>398</v>
      </c>
      <c r="I63" s="1" t="s">
        <v>399</v>
      </c>
      <c r="J63" s="1" t="s">
        <v>400</v>
      </c>
      <c r="K63" s="1" t="s">
        <v>401</v>
      </c>
      <c r="L63" s="1" t="s">
        <v>402</v>
      </c>
      <c r="M63" s="1">
        <v>135.32</v>
      </c>
      <c r="N63" s="41">
        <v>27.1</v>
      </c>
    </row>
    <row r="64" spans="5:14" x14ac:dyDescent="0.25">
      <c r="E64" s="177"/>
      <c r="F64" s="158"/>
      <c r="G64" s="48" t="s">
        <v>7</v>
      </c>
      <c r="H64" s="66" t="s">
        <v>403</v>
      </c>
      <c r="I64" s="1" t="s">
        <v>404</v>
      </c>
      <c r="J64" s="1" t="s">
        <v>405</v>
      </c>
      <c r="K64" s="1" t="s">
        <v>406</v>
      </c>
      <c r="L64" s="1" t="s">
        <v>407</v>
      </c>
      <c r="M64" s="1">
        <v>5.01</v>
      </c>
      <c r="N64" s="41">
        <v>22.9</v>
      </c>
    </row>
    <row r="65" spans="5:14" x14ac:dyDescent="0.25">
      <c r="E65" s="177"/>
      <c r="F65" s="158"/>
      <c r="G65" s="48" t="s">
        <v>8</v>
      </c>
      <c r="H65" s="66" t="s">
        <v>408</v>
      </c>
      <c r="I65" s="1" t="s">
        <v>409</v>
      </c>
      <c r="J65" s="1" t="s">
        <v>410</v>
      </c>
      <c r="K65" s="1" t="s">
        <v>411</v>
      </c>
      <c r="L65" s="1" t="s">
        <v>412</v>
      </c>
      <c r="M65" s="1">
        <v>2.75</v>
      </c>
      <c r="N65" s="41">
        <v>15.2</v>
      </c>
    </row>
    <row r="66" spans="5:14" ht="15.75" thickBot="1" x14ac:dyDescent="0.3">
      <c r="E66" s="177"/>
      <c r="F66" s="183"/>
      <c r="G66" s="49" t="s">
        <v>9</v>
      </c>
      <c r="H66" s="79" t="s">
        <v>413</v>
      </c>
      <c r="I66" s="4" t="s">
        <v>414</v>
      </c>
      <c r="J66" s="4" t="s">
        <v>415</v>
      </c>
      <c r="K66" s="4" t="s">
        <v>416</v>
      </c>
      <c r="L66" s="4" t="s">
        <v>417</v>
      </c>
      <c r="M66" s="4">
        <v>928.02</v>
      </c>
      <c r="N66" s="68">
        <v>242.7</v>
      </c>
    </row>
    <row r="67" spans="5:14" x14ac:dyDescent="0.25">
      <c r="E67" s="177"/>
      <c r="F67" s="184" t="s">
        <v>2</v>
      </c>
      <c r="G67" s="54" t="s">
        <v>5</v>
      </c>
      <c r="H67" s="76" t="s">
        <v>193</v>
      </c>
      <c r="I67" s="18" t="s">
        <v>194</v>
      </c>
      <c r="J67" s="18" t="s">
        <v>195</v>
      </c>
      <c r="K67" s="18" t="s">
        <v>196</v>
      </c>
      <c r="L67" s="18" t="s">
        <v>197</v>
      </c>
      <c r="M67" s="39">
        <v>17.010000000000002</v>
      </c>
      <c r="N67" s="40">
        <v>95.9</v>
      </c>
    </row>
    <row r="68" spans="5:14" x14ac:dyDescent="0.25">
      <c r="E68" s="177"/>
      <c r="F68" s="185"/>
      <c r="G68" s="55" t="s">
        <v>6</v>
      </c>
      <c r="H68" s="65" t="s">
        <v>198</v>
      </c>
      <c r="I68" s="20" t="s">
        <v>199</v>
      </c>
      <c r="J68" s="20" t="s">
        <v>200</v>
      </c>
      <c r="K68" s="20" t="s">
        <v>201</v>
      </c>
      <c r="L68" s="20" t="s">
        <v>202</v>
      </c>
      <c r="M68" s="1">
        <v>19.149999999999999</v>
      </c>
      <c r="N68" s="41">
        <v>104.3</v>
      </c>
    </row>
    <row r="69" spans="5:14" ht="15" customHeight="1" x14ac:dyDescent="0.25">
      <c r="E69" s="177"/>
      <c r="F69" s="185"/>
      <c r="G69" s="55" t="s">
        <v>7</v>
      </c>
      <c r="H69" s="65" t="s">
        <v>203</v>
      </c>
      <c r="I69" s="20" t="s">
        <v>204</v>
      </c>
      <c r="J69" s="20" t="s">
        <v>205</v>
      </c>
      <c r="K69" s="20" t="s">
        <v>206</v>
      </c>
      <c r="L69" s="20" t="s">
        <v>207</v>
      </c>
      <c r="M69" s="1">
        <v>24.87</v>
      </c>
      <c r="N69" s="41">
        <v>118.9</v>
      </c>
    </row>
    <row r="70" spans="5:14" x14ac:dyDescent="0.25">
      <c r="E70" s="177"/>
      <c r="F70" s="185"/>
      <c r="G70" s="55" t="s">
        <v>18</v>
      </c>
      <c r="H70" s="65" t="s">
        <v>208</v>
      </c>
      <c r="I70" s="20" t="s">
        <v>209</v>
      </c>
      <c r="J70" s="20" t="s">
        <v>210</v>
      </c>
      <c r="K70" s="20" t="s">
        <v>211</v>
      </c>
      <c r="L70" s="20" t="s">
        <v>212</v>
      </c>
      <c r="M70" s="1">
        <v>16.93</v>
      </c>
      <c r="N70" s="41">
        <v>136.6</v>
      </c>
    </row>
    <row r="71" spans="5:14" ht="15.75" thickBot="1" x14ac:dyDescent="0.3">
      <c r="E71" s="177"/>
      <c r="F71" s="186"/>
      <c r="G71" s="56" t="s">
        <v>9</v>
      </c>
      <c r="H71" s="70" t="s">
        <v>213</v>
      </c>
      <c r="I71" s="22" t="s">
        <v>214</v>
      </c>
      <c r="J71" s="22" t="s">
        <v>215</v>
      </c>
      <c r="K71" s="22" t="s">
        <v>216</v>
      </c>
      <c r="L71" s="22" t="s">
        <v>217</v>
      </c>
      <c r="M71" s="42">
        <v>59.1</v>
      </c>
      <c r="N71" s="43">
        <v>148.19999999999999</v>
      </c>
    </row>
    <row r="72" spans="5:14" x14ac:dyDescent="0.25">
      <c r="E72" s="177"/>
      <c r="F72" s="187" t="s">
        <v>3</v>
      </c>
      <c r="G72" s="47" t="s">
        <v>5</v>
      </c>
      <c r="H72" s="63" t="s">
        <v>168</v>
      </c>
      <c r="I72" s="3" t="s">
        <v>169</v>
      </c>
      <c r="J72" s="3" t="s">
        <v>170</v>
      </c>
      <c r="K72" s="3" t="s">
        <v>171</v>
      </c>
      <c r="L72" s="3" t="s">
        <v>172</v>
      </c>
      <c r="M72" s="3">
        <v>15.14</v>
      </c>
      <c r="N72" s="64">
        <v>98.8</v>
      </c>
    </row>
    <row r="73" spans="5:14" x14ac:dyDescent="0.25">
      <c r="E73" s="177"/>
      <c r="F73" s="187"/>
      <c r="G73" s="48" t="s">
        <v>6</v>
      </c>
      <c r="H73" s="66" t="s">
        <v>173</v>
      </c>
      <c r="I73" s="1" t="s">
        <v>174</v>
      </c>
      <c r="J73" s="1" t="s">
        <v>175</v>
      </c>
      <c r="K73" s="1" t="s">
        <v>176</v>
      </c>
      <c r="L73" s="1" t="s">
        <v>177</v>
      </c>
      <c r="M73" s="1">
        <v>19.82</v>
      </c>
      <c r="N73" s="41">
        <v>114.6</v>
      </c>
    </row>
    <row r="74" spans="5:14" ht="15" customHeight="1" x14ac:dyDescent="0.25">
      <c r="E74" s="177"/>
      <c r="F74" s="187"/>
      <c r="G74" s="48" t="s">
        <v>7</v>
      </c>
      <c r="H74" s="66" t="s">
        <v>178</v>
      </c>
      <c r="I74" s="1" t="s">
        <v>179</v>
      </c>
      <c r="J74" s="1" t="s">
        <v>180</v>
      </c>
      <c r="K74" s="1" t="s">
        <v>181</v>
      </c>
      <c r="L74" s="1" t="s">
        <v>182</v>
      </c>
      <c r="M74" s="1">
        <v>24.21</v>
      </c>
      <c r="N74" s="41">
        <v>129.19999999999999</v>
      </c>
    </row>
    <row r="75" spans="5:14" x14ac:dyDescent="0.25">
      <c r="E75" s="177"/>
      <c r="F75" s="187"/>
      <c r="G75" s="48" t="s">
        <v>18</v>
      </c>
      <c r="H75" s="66" t="s">
        <v>183</v>
      </c>
      <c r="I75" s="1" t="s">
        <v>184</v>
      </c>
      <c r="J75" s="1" t="s">
        <v>185</v>
      </c>
      <c r="K75" s="1" t="s">
        <v>186</v>
      </c>
      <c r="L75" s="1" t="s">
        <v>187</v>
      </c>
      <c r="M75" s="1">
        <v>15.07</v>
      </c>
      <c r="N75" s="41">
        <v>146.80000000000001</v>
      </c>
    </row>
    <row r="76" spans="5:14" ht="15.75" thickBot="1" x14ac:dyDescent="0.3">
      <c r="E76" s="177"/>
      <c r="F76" s="187"/>
      <c r="G76" s="49" t="s">
        <v>9</v>
      </c>
      <c r="H76" s="67" t="s">
        <v>188</v>
      </c>
      <c r="I76" s="4" t="s">
        <v>189</v>
      </c>
      <c r="J76" s="4" t="s">
        <v>190</v>
      </c>
      <c r="K76" s="4" t="s">
        <v>191</v>
      </c>
      <c r="L76" s="4" t="s">
        <v>192</v>
      </c>
      <c r="M76" s="4">
        <v>26.11</v>
      </c>
      <c r="N76" s="68">
        <v>157.69999999999999</v>
      </c>
    </row>
    <row r="77" spans="5:14" x14ac:dyDescent="0.25">
      <c r="E77" s="177"/>
      <c r="F77" s="188" t="s">
        <v>4</v>
      </c>
      <c r="G77" s="54" t="s">
        <v>5</v>
      </c>
      <c r="H77" s="76" t="s">
        <v>218</v>
      </c>
      <c r="I77" s="18" t="s">
        <v>219</v>
      </c>
      <c r="J77" s="18" t="s">
        <v>220</v>
      </c>
      <c r="K77" s="18" t="s">
        <v>221</v>
      </c>
      <c r="L77" s="18" t="s">
        <v>222</v>
      </c>
      <c r="M77" s="39">
        <v>19.43</v>
      </c>
      <c r="N77" s="40">
        <v>13.1</v>
      </c>
    </row>
    <row r="78" spans="5:14" x14ac:dyDescent="0.25">
      <c r="E78" s="177"/>
      <c r="F78" s="180"/>
      <c r="G78" s="55" t="s">
        <v>6</v>
      </c>
      <c r="H78" s="65" t="s">
        <v>223</v>
      </c>
      <c r="I78" s="20" t="s">
        <v>224</v>
      </c>
      <c r="J78" s="20" t="s">
        <v>225</v>
      </c>
      <c r="K78" s="20" t="s">
        <v>226</v>
      </c>
      <c r="L78" s="20" t="s">
        <v>227</v>
      </c>
      <c r="M78" s="1">
        <v>30.8</v>
      </c>
      <c r="N78" s="41">
        <v>28.6</v>
      </c>
    </row>
    <row r="79" spans="5:14" x14ac:dyDescent="0.25">
      <c r="E79" s="177"/>
      <c r="F79" s="180"/>
      <c r="G79" s="55" t="s">
        <v>7</v>
      </c>
      <c r="H79" s="65" t="s">
        <v>228</v>
      </c>
      <c r="I79" s="20" t="s">
        <v>229</v>
      </c>
      <c r="J79" s="20" t="s">
        <v>230</v>
      </c>
      <c r="K79" s="20" t="s">
        <v>231</v>
      </c>
      <c r="L79" s="20" t="s">
        <v>232</v>
      </c>
      <c r="M79" s="1">
        <v>52.5</v>
      </c>
      <c r="N79" s="41">
        <v>0.3</v>
      </c>
    </row>
    <row r="80" spans="5:14" x14ac:dyDescent="0.25">
      <c r="E80" s="177"/>
      <c r="F80" s="180"/>
      <c r="G80" s="55" t="s">
        <v>8</v>
      </c>
      <c r="H80" s="65" t="s">
        <v>233</v>
      </c>
      <c r="I80" s="20" t="s">
        <v>234</v>
      </c>
      <c r="J80" s="20" t="s">
        <v>235</v>
      </c>
      <c r="K80" s="20" t="s">
        <v>236</v>
      </c>
      <c r="L80" s="20" t="s">
        <v>237</v>
      </c>
      <c r="M80" s="1">
        <v>19.2</v>
      </c>
      <c r="N80" s="41">
        <v>0</v>
      </c>
    </row>
    <row r="81" spans="5:14" ht="15.75" thickBot="1" x14ac:dyDescent="0.3">
      <c r="E81" s="178"/>
      <c r="F81" s="181"/>
      <c r="G81" s="56" t="s">
        <v>9</v>
      </c>
      <c r="H81" s="70" t="s">
        <v>238</v>
      </c>
      <c r="I81" s="22" t="s">
        <v>239</v>
      </c>
      <c r="J81" s="22" t="s">
        <v>240</v>
      </c>
      <c r="K81" s="22" t="s">
        <v>241</v>
      </c>
      <c r="L81" s="22" t="s">
        <v>242</v>
      </c>
      <c r="M81" s="42">
        <v>35.29</v>
      </c>
      <c r="N81" s="43">
        <v>2.5</v>
      </c>
    </row>
    <row r="86" spans="5:14" ht="15" customHeight="1" x14ac:dyDescent="0.25"/>
  </sheetData>
  <mergeCells count="19">
    <mergeCell ref="F41:F45"/>
    <mergeCell ref="F46:F50"/>
    <mergeCell ref="F51:F55"/>
    <mergeCell ref="F57:F61"/>
    <mergeCell ref="R4:S4"/>
    <mergeCell ref="E5:E29"/>
    <mergeCell ref="E31:E55"/>
    <mergeCell ref="E57:E81"/>
    <mergeCell ref="F77:F81"/>
    <mergeCell ref="F5:F9"/>
    <mergeCell ref="F10:F14"/>
    <mergeCell ref="F15:F19"/>
    <mergeCell ref="F20:F24"/>
    <mergeCell ref="F25:F29"/>
    <mergeCell ref="F62:F66"/>
    <mergeCell ref="F67:F71"/>
    <mergeCell ref="F72:F76"/>
    <mergeCell ref="F31:F35"/>
    <mergeCell ref="F36:F40"/>
  </mergeCells>
  <conditionalFormatting sqref="H5:H29">
    <cfRule type="top10" dxfId="19" priority="1" rank="1"/>
    <cfRule type="top10" dxfId="18" priority="2" rank="1"/>
    <cfRule type="top10" dxfId="17" priority="185" rank="3"/>
  </conditionalFormatting>
  <conditionalFormatting sqref="H5:H61 H67:H81">
    <cfRule type="top10" dxfId="16" priority="167" rank="1"/>
  </conditionalFormatting>
  <conditionalFormatting sqref="H6:H29">
    <cfRule type="top10" priority="186" rank="3"/>
  </conditionalFormatting>
  <conditionalFormatting sqref="H31:H56">
    <cfRule type="top10" dxfId="15" priority="179" rank="3"/>
  </conditionalFormatting>
  <conditionalFormatting sqref="H57:H61 H67:H81">
    <cfRule type="top10" dxfId="14" priority="173" rank="3"/>
  </conditionalFormatting>
  <conditionalFormatting sqref="I5:I29">
    <cfRule type="top10" dxfId="13" priority="184" rank="3"/>
  </conditionalFormatting>
  <conditionalFormatting sqref="I31:I55">
    <cfRule type="top10" dxfId="12" priority="178" rank="3"/>
  </conditionalFormatting>
  <conditionalFormatting sqref="I57:I61 I67:I81">
    <cfRule type="top10" dxfId="11" priority="172" rank="3"/>
  </conditionalFormatting>
  <conditionalFormatting sqref="J5:J29">
    <cfRule type="top10" dxfId="10" priority="183" rank="3"/>
  </conditionalFormatting>
  <conditionalFormatting sqref="J31:J55">
    <cfRule type="top10" dxfId="9" priority="177" rank="3"/>
  </conditionalFormatting>
  <conditionalFormatting sqref="J57:J61 J67:J81">
    <cfRule type="top10" dxfId="8" priority="171" rank="3"/>
  </conditionalFormatting>
  <conditionalFormatting sqref="K5:K29">
    <cfRule type="top10" dxfId="7" priority="181" rank="3"/>
  </conditionalFormatting>
  <conditionalFormatting sqref="K5:K61 K67:K81">
    <cfRule type="top10" dxfId="6" priority="166" rank="1"/>
  </conditionalFormatting>
  <conditionalFormatting sqref="K31:K55">
    <cfRule type="top10" dxfId="5" priority="175" rank="3"/>
  </conditionalFormatting>
  <conditionalFormatting sqref="K57:K61 K67:K81">
    <cfRule type="top10" dxfId="4" priority="169" rank="3"/>
  </conditionalFormatting>
  <conditionalFormatting sqref="L5:L29">
    <cfRule type="top10" dxfId="3" priority="180" rank="3"/>
  </conditionalFormatting>
  <conditionalFormatting sqref="L5:L61 L67:L81">
    <cfRule type="top10" dxfId="2" priority="165" rank="1"/>
  </conditionalFormatting>
  <conditionalFormatting sqref="L31:L55">
    <cfRule type="top10" dxfId="1" priority="174" rank="3"/>
  </conditionalFormatting>
  <conditionalFormatting sqref="L57:L61 L67:L81">
    <cfRule type="top10" dxfId="0" priority="168" rank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F743-D3BD-42C7-8621-981A38375FD5}">
  <dimension ref="E2:BV97"/>
  <sheetViews>
    <sheetView topLeftCell="D9" zoomScale="70" zoomScaleNormal="70" workbookViewId="0">
      <selection activeCell="R35" sqref="R35"/>
    </sheetView>
  </sheetViews>
  <sheetFormatPr baseColWidth="10" defaultRowHeight="15" x14ac:dyDescent="0.25"/>
  <cols>
    <col min="4" max="4" width="16.28515625" customWidth="1"/>
    <col min="5" max="5" width="23.42578125" customWidth="1"/>
    <col min="6" max="6" width="14.85546875" bestFit="1" customWidth="1"/>
    <col min="7" max="7" width="24.85546875" bestFit="1" customWidth="1"/>
    <col min="8" max="8" width="17.85546875" bestFit="1" customWidth="1"/>
    <col min="9" max="9" width="17.85546875" customWidth="1"/>
    <col min="10" max="10" width="17.5703125" bestFit="1" customWidth="1"/>
    <col min="11" max="11" width="17.5703125" customWidth="1"/>
    <col min="12" max="12" width="17.85546875" bestFit="1" customWidth="1"/>
    <col min="13" max="13" width="17.85546875" customWidth="1"/>
    <col min="14" max="14" width="17.5703125" bestFit="1" customWidth="1"/>
    <col min="15" max="15" width="17.5703125" customWidth="1"/>
    <col min="16" max="16" width="21.28515625" bestFit="1" customWidth="1"/>
    <col min="17" max="17" width="21.28515625" customWidth="1"/>
    <col min="19" max="19" width="17.28515625" customWidth="1"/>
    <col min="27" max="27" width="13.7109375" customWidth="1"/>
    <col min="28" max="28" width="23.85546875" bestFit="1" customWidth="1"/>
    <col min="29" max="29" width="17.85546875" bestFit="1" customWidth="1"/>
    <col min="30" max="30" width="17.85546875" customWidth="1"/>
    <col min="31" max="31" width="17.5703125" bestFit="1" customWidth="1"/>
    <col min="32" max="32" width="17.5703125" customWidth="1"/>
    <col min="33" max="33" width="17.85546875" bestFit="1" customWidth="1"/>
    <col min="34" max="34" width="17.85546875" customWidth="1"/>
    <col min="35" max="35" width="17.85546875" bestFit="1" customWidth="1"/>
    <col min="36" max="36" width="17.85546875" customWidth="1"/>
    <col min="37" max="37" width="17.85546875" bestFit="1" customWidth="1"/>
    <col min="38" max="38" width="17.85546875" customWidth="1"/>
    <col min="39" max="39" width="11.140625" customWidth="1"/>
    <col min="40" max="40" width="19.28515625" bestFit="1" customWidth="1"/>
    <col min="42" max="42" width="20.42578125" customWidth="1"/>
    <col min="43" max="43" width="14.28515625" customWidth="1"/>
    <col min="44" max="44" width="14.85546875" customWidth="1"/>
    <col min="45" max="45" width="15.28515625" customWidth="1"/>
  </cols>
  <sheetData>
    <row r="2" spans="5:74" x14ac:dyDescent="0.25">
      <c r="H2" t="s">
        <v>19</v>
      </c>
      <c r="BH2" s="26"/>
      <c r="BI2" s="26"/>
      <c r="BJ2" s="26"/>
    </row>
    <row r="3" spans="5:74" ht="15.75" thickBot="1" x14ac:dyDescent="0.3">
      <c r="AR3" s="2" t="s">
        <v>10</v>
      </c>
      <c r="AT3" s="33"/>
      <c r="AY3" s="2" t="s">
        <v>10</v>
      </c>
      <c r="BA3" s="35"/>
      <c r="BB3" s="26"/>
      <c r="BC3" s="26"/>
      <c r="BF3" s="2" t="s">
        <v>10</v>
      </c>
      <c r="BH3" s="35"/>
      <c r="BI3" s="26"/>
      <c r="BJ3" s="26"/>
      <c r="BM3" s="2" t="s">
        <v>10</v>
      </c>
      <c r="BO3" s="35"/>
      <c r="BP3" s="26"/>
      <c r="BQ3" s="26"/>
      <c r="BS3" s="2" t="s">
        <v>10</v>
      </c>
      <c r="BU3" s="35"/>
      <c r="BV3" s="26"/>
    </row>
    <row r="4" spans="5:74" ht="15.75" thickBot="1" x14ac:dyDescent="0.3">
      <c r="H4" s="57" t="s">
        <v>10</v>
      </c>
      <c r="I4" s="80" t="s">
        <v>418</v>
      </c>
      <c r="J4" s="37" t="s">
        <v>11</v>
      </c>
      <c r="K4" s="37" t="s">
        <v>419</v>
      </c>
      <c r="L4" s="37" t="s">
        <v>12</v>
      </c>
      <c r="M4" s="37" t="s">
        <v>420</v>
      </c>
      <c r="N4" s="37" t="s">
        <v>13</v>
      </c>
      <c r="O4" s="37" t="s">
        <v>421</v>
      </c>
      <c r="P4" s="37" t="s">
        <v>14</v>
      </c>
      <c r="Q4" s="37" t="s">
        <v>422</v>
      </c>
      <c r="R4" s="58" t="s">
        <v>66</v>
      </c>
      <c r="S4" s="59" t="s">
        <v>67</v>
      </c>
      <c r="T4" s="38"/>
      <c r="W4" s="145"/>
      <c r="X4" s="145"/>
      <c r="AC4" s="2" t="s">
        <v>10</v>
      </c>
      <c r="AD4" s="2" t="s">
        <v>418</v>
      </c>
      <c r="AE4" s="2" t="s">
        <v>11</v>
      </c>
      <c r="AF4" s="2" t="s">
        <v>419</v>
      </c>
      <c r="AG4" s="2" t="s">
        <v>12</v>
      </c>
      <c r="AH4" s="2" t="s">
        <v>420</v>
      </c>
      <c r="AI4" s="2" t="s">
        <v>13</v>
      </c>
      <c r="AJ4" s="2" t="s">
        <v>421</v>
      </c>
      <c r="AK4" s="2" t="s">
        <v>14</v>
      </c>
      <c r="AL4" s="2" t="s">
        <v>422</v>
      </c>
      <c r="AM4" s="4" t="s">
        <v>66</v>
      </c>
      <c r="AN4" s="4" t="s">
        <v>67</v>
      </c>
      <c r="AQ4" t="s">
        <v>26</v>
      </c>
      <c r="AR4" s="6" cm="1">
        <f t="array" ref="AR4:AR18">AC5:AC19</f>
        <v>0.93289999999999995</v>
      </c>
      <c r="AS4" s="6" cm="1">
        <f t="array" ref="AS4:AS18">AD5:AD19</f>
        <v>1.6999999999999999E-3</v>
      </c>
      <c r="AX4" t="s">
        <v>27</v>
      </c>
      <c r="AY4" s="8" cm="1">
        <f t="array" ref="AY4:AZ18">AC23:AD37</f>
        <v>0.9325</v>
      </c>
      <c r="AZ4">
        <v>1.5E-3</v>
      </c>
      <c r="BA4" s="26"/>
      <c r="BB4" s="26"/>
      <c r="BC4" s="26"/>
      <c r="BE4" t="s">
        <v>2</v>
      </c>
      <c r="BF4" s="6" cm="1">
        <f t="array" ref="BF4:BG18">AC40:AD54</f>
        <v>0.89890000000000003</v>
      </c>
      <c r="BG4">
        <v>2.2000000000000001E-3</v>
      </c>
      <c r="BH4" s="26"/>
      <c r="BI4" s="26"/>
      <c r="BJ4" s="26"/>
      <c r="BL4" t="s">
        <v>3</v>
      </c>
      <c r="BM4" s="8" cm="1">
        <f t="array" ref="BM4:BN18">AC57:AD71</f>
        <v>0.84009999999999996</v>
      </c>
      <c r="BN4">
        <v>3.3999999999999998E-3</v>
      </c>
      <c r="BO4" s="26"/>
      <c r="BP4" s="26"/>
      <c r="BQ4" s="26"/>
      <c r="BR4" t="s">
        <v>4</v>
      </c>
      <c r="BS4" s="6" cm="1">
        <f t="array" ref="BS4:BT18">AC74:AD88</f>
        <v>0.93120000000000003</v>
      </c>
      <c r="BT4">
        <v>2.7000000000000001E-3</v>
      </c>
      <c r="BU4" s="26"/>
      <c r="BV4" s="26"/>
    </row>
    <row r="5" spans="5:74" ht="15" customHeight="1" thickBot="1" x14ac:dyDescent="0.3">
      <c r="E5" s="170" t="s">
        <v>15</v>
      </c>
      <c r="F5" s="146" t="s">
        <v>0</v>
      </c>
      <c r="G5" s="44" t="s">
        <v>5</v>
      </c>
      <c r="H5" s="60">
        <v>0.93289999999999995</v>
      </c>
      <c r="I5" s="81">
        <v>1.6999999999999999E-3</v>
      </c>
      <c r="J5" s="6">
        <v>0.88970000000000005</v>
      </c>
      <c r="K5" s="6">
        <v>6.7000000000000002E-3</v>
      </c>
      <c r="L5" s="6">
        <v>0.83730000000000004</v>
      </c>
      <c r="M5" s="6">
        <v>6.4000000000000003E-3</v>
      </c>
      <c r="N5" s="6">
        <v>0.86270000000000002</v>
      </c>
      <c r="O5" s="6">
        <v>3.5000000000000001E-3</v>
      </c>
      <c r="P5" s="6">
        <v>0.96660000000000001</v>
      </c>
      <c r="Q5" s="6">
        <v>1.9E-3</v>
      </c>
      <c r="R5" s="6">
        <v>11.6</v>
      </c>
      <c r="S5" s="7">
        <v>44.3</v>
      </c>
      <c r="Z5" s="149" t="s">
        <v>0</v>
      </c>
      <c r="AA5" s="152" t="s">
        <v>20</v>
      </c>
      <c r="AB5" s="44" t="s">
        <v>5</v>
      </c>
      <c r="AC5" s="60">
        <v>0.93289999999999995</v>
      </c>
      <c r="AD5" s="81">
        <v>1.6999999999999999E-3</v>
      </c>
      <c r="AE5" s="6">
        <v>0.88970000000000005</v>
      </c>
      <c r="AF5" s="6">
        <v>6.7000000000000002E-3</v>
      </c>
      <c r="AG5" s="6">
        <v>0.83730000000000004</v>
      </c>
      <c r="AH5" s="6">
        <v>6.4000000000000003E-3</v>
      </c>
      <c r="AI5" s="6">
        <v>0.86270000000000002</v>
      </c>
      <c r="AJ5" s="6">
        <v>3.5000000000000001E-3</v>
      </c>
      <c r="AK5" s="6">
        <v>0.96660000000000001</v>
      </c>
      <c r="AL5" s="6">
        <v>1.9E-3</v>
      </c>
      <c r="AM5" s="6">
        <v>11.6</v>
      </c>
      <c r="AN5" s="7">
        <v>44.3</v>
      </c>
      <c r="AR5" s="6">
        <v>0.9153</v>
      </c>
      <c r="AS5" s="6">
        <v>2.5000000000000001E-3</v>
      </c>
      <c r="AY5" s="8">
        <v>0.94889999999999997</v>
      </c>
      <c r="AZ5">
        <v>1.6000000000000001E-3</v>
      </c>
      <c r="BA5" s="26"/>
      <c r="BB5" s="26"/>
      <c r="BC5" s="26"/>
      <c r="BF5" s="8">
        <v>0.9083</v>
      </c>
      <c r="BG5">
        <v>2.3E-3</v>
      </c>
      <c r="BH5" s="26"/>
      <c r="BI5" s="26"/>
      <c r="BJ5" s="26"/>
      <c r="BM5" s="8">
        <v>0.8589</v>
      </c>
      <c r="BN5">
        <v>3.3999999999999998E-3</v>
      </c>
      <c r="BO5" s="26"/>
      <c r="BP5" s="26"/>
      <c r="BQ5" s="26"/>
      <c r="BS5" s="8">
        <v>0.9325</v>
      </c>
      <c r="BT5">
        <v>1.8E-3</v>
      </c>
      <c r="BU5" s="26"/>
      <c r="BV5" s="26"/>
    </row>
    <row r="6" spans="5:74" ht="15.75" thickBot="1" x14ac:dyDescent="0.3">
      <c r="E6" s="171"/>
      <c r="F6" s="147"/>
      <c r="G6" s="45" t="s">
        <v>6</v>
      </c>
      <c r="H6" s="61">
        <v>0.9153</v>
      </c>
      <c r="I6" s="82">
        <v>2.5000000000000001E-3</v>
      </c>
      <c r="J6" s="8">
        <v>0.89429999999999998</v>
      </c>
      <c r="K6" s="8">
        <v>3.8999999999999998E-3</v>
      </c>
      <c r="L6" s="8">
        <v>0.75260000000000005</v>
      </c>
      <c r="M6" s="8">
        <v>9.1999999999999998E-3</v>
      </c>
      <c r="N6" s="8">
        <v>0.81730000000000003</v>
      </c>
      <c r="O6" s="8">
        <v>6.1000000000000004E-3</v>
      </c>
      <c r="P6" s="8">
        <v>0.96730000000000005</v>
      </c>
      <c r="Q6" s="8">
        <v>1.4E-3</v>
      </c>
      <c r="R6" s="8">
        <v>2547.37</v>
      </c>
      <c r="S6" s="9">
        <v>46.3</v>
      </c>
      <c r="Z6" s="150"/>
      <c r="AA6" s="153"/>
      <c r="AB6" s="45" t="s">
        <v>6</v>
      </c>
      <c r="AC6" s="61">
        <v>0.9153</v>
      </c>
      <c r="AD6" s="82">
        <v>2.5000000000000001E-3</v>
      </c>
      <c r="AE6" s="8">
        <v>0.89429999999999998</v>
      </c>
      <c r="AF6" s="8">
        <v>3.8999999999999998E-3</v>
      </c>
      <c r="AG6" s="8">
        <v>0.75260000000000005</v>
      </c>
      <c r="AH6" s="8">
        <v>9.1999999999999998E-3</v>
      </c>
      <c r="AI6" s="8">
        <v>0.81730000000000003</v>
      </c>
      <c r="AJ6" s="8">
        <v>6.1000000000000004E-3</v>
      </c>
      <c r="AK6" s="8">
        <v>0.96730000000000005</v>
      </c>
      <c r="AL6" s="8">
        <v>1.4E-3</v>
      </c>
      <c r="AM6" s="8">
        <v>2547.37</v>
      </c>
      <c r="AN6" s="9">
        <v>46.3</v>
      </c>
      <c r="AR6" s="6">
        <v>0.92949999999999999</v>
      </c>
      <c r="AS6" s="6">
        <v>1.8E-3</v>
      </c>
      <c r="AY6" s="8">
        <v>0.92530000000000001</v>
      </c>
      <c r="AZ6">
        <v>8.9999999999999998E-4</v>
      </c>
      <c r="BA6" s="26"/>
      <c r="BB6" s="26"/>
      <c r="BC6" s="26"/>
      <c r="BF6" s="8">
        <v>0.9133</v>
      </c>
      <c r="BG6">
        <v>3.7000000000000002E-3</v>
      </c>
      <c r="BH6" s="26"/>
      <c r="BI6" s="26"/>
      <c r="BJ6" s="26"/>
      <c r="BM6" s="8">
        <v>0.82310000000000005</v>
      </c>
      <c r="BN6">
        <v>2.5999999999999999E-3</v>
      </c>
      <c r="BO6" s="26"/>
      <c r="BP6" s="26"/>
      <c r="BQ6" s="26"/>
      <c r="BS6" s="8">
        <v>0.92230000000000001</v>
      </c>
      <c r="BT6">
        <v>4.1000000000000003E-3</v>
      </c>
      <c r="BU6" s="26"/>
      <c r="BV6" s="26"/>
    </row>
    <row r="7" spans="5:74" ht="15.75" thickBot="1" x14ac:dyDescent="0.3">
      <c r="E7" s="171"/>
      <c r="F7" s="147"/>
      <c r="G7" s="45" t="s">
        <v>7</v>
      </c>
      <c r="H7" s="61">
        <v>0.92949999999999999</v>
      </c>
      <c r="I7" s="82">
        <v>1.8E-3</v>
      </c>
      <c r="J7" s="102">
        <v>0.94110000000000005</v>
      </c>
      <c r="K7" s="8">
        <v>3.7000000000000002E-3</v>
      </c>
      <c r="L7" s="8">
        <v>0.76800000000000002</v>
      </c>
      <c r="M7" s="8">
        <v>8.9999999999999993E-3</v>
      </c>
      <c r="N7" s="8">
        <v>0.8458</v>
      </c>
      <c r="O7" s="8">
        <v>4.7000000000000002E-3</v>
      </c>
      <c r="P7" s="8">
        <v>0.97629999999999995</v>
      </c>
      <c r="Q7" s="8">
        <v>1.1999999999999999E-3</v>
      </c>
      <c r="R7" s="8">
        <v>17.29</v>
      </c>
      <c r="S7" s="9">
        <v>245.7</v>
      </c>
      <c r="Z7" s="150"/>
      <c r="AA7" s="153"/>
      <c r="AB7" s="45" t="s">
        <v>7</v>
      </c>
      <c r="AC7" s="61">
        <v>0.92949999999999999</v>
      </c>
      <c r="AD7" s="82">
        <v>1.8E-3</v>
      </c>
      <c r="AE7" s="8">
        <v>0.94110000000000005</v>
      </c>
      <c r="AF7" s="8">
        <v>3.7000000000000002E-3</v>
      </c>
      <c r="AG7" s="8">
        <v>0.76800000000000002</v>
      </c>
      <c r="AH7" s="8">
        <v>8.9999999999999993E-3</v>
      </c>
      <c r="AI7" s="8">
        <v>0.8458</v>
      </c>
      <c r="AJ7" s="8">
        <v>4.7000000000000002E-3</v>
      </c>
      <c r="AK7" s="8">
        <v>0.97629999999999995</v>
      </c>
      <c r="AL7" s="8">
        <v>1.1999999999999999E-3</v>
      </c>
      <c r="AM7" s="8">
        <v>17.29</v>
      </c>
      <c r="AN7" s="9">
        <v>245.7</v>
      </c>
      <c r="AR7" s="6">
        <v>0.91930000000000001</v>
      </c>
      <c r="AS7" s="6">
        <v>1.6000000000000001E-3</v>
      </c>
      <c r="AY7" s="8">
        <v>0.8619</v>
      </c>
      <c r="AZ7">
        <v>1.8E-3</v>
      </c>
      <c r="BA7" s="26"/>
      <c r="BB7" s="26"/>
      <c r="BC7" s="26"/>
      <c r="BF7" s="8">
        <v>0.60309999999999997</v>
      </c>
      <c r="BG7">
        <v>1.6000000000000001E-3</v>
      </c>
      <c r="BH7" s="26"/>
      <c r="BI7" s="26"/>
      <c r="BJ7" s="26"/>
      <c r="BM7" s="8">
        <v>0.70530000000000004</v>
      </c>
      <c r="BN7">
        <v>3.5999999999999999E-3</v>
      </c>
      <c r="BO7" s="26"/>
      <c r="BP7" s="26"/>
      <c r="BQ7" s="26"/>
      <c r="BS7" s="8">
        <v>0.73260000000000003</v>
      </c>
      <c r="BT7">
        <v>2E-3</v>
      </c>
      <c r="BU7" s="26"/>
      <c r="BV7" s="26"/>
    </row>
    <row r="8" spans="5:74" ht="15.75" thickBot="1" x14ac:dyDescent="0.3">
      <c r="E8" s="171"/>
      <c r="F8" s="147"/>
      <c r="G8" s="45" t="s">
        <v>8</v>
      </c>
      <c r="H8" s="61">
        <v>0.91930000000000001</v>
      </c>
      <c r="I8" s="82">
        <v>1.6000000000000001E-3</v>
      </c>
      <c r="J8" s="8">
        <v>0.87480000000000002</v>
      </c>
      <c r="K8" s="8">
        <v>5.4999999999999997E-3</v>
      </c>
      <c r="L8" s="8">
        <v>0.79290000000000005</v>
      </c>
      <c r="M8" s="8">
        <v>5.8999999999999999E-3</v>
      </c>
      <c r="N8" s="8">
        <v>0.83189999999999997</v>
      </c>
      <c r="O8" s="8">
        <v>3.3999999999999998E-3</v>
      </c>
      <c r="P8" s="8">
        <v>0.94779999999999998</v>
      </c>
      <c r="Q8" s="8">
        <v>1.6000000000000001E-3</v>
      </c>
      <c r="R8" s="8">
        <v>3.43</v>
      </c>
      <c r="S8" s="9">
        <v>1.2</v>
      </c>
      <c r="Z8" s="150"/>
      <c r="AA8" s="153"/>
      <c r="AB8" s="45" t="s">
        <v>8</v>
      </c>
      <c r="AC8" s="61">
        <v>0.91930000000000001</v>
      </c>
      <c r="AD8" s="82">
        <v>1.6000000000000001E-3</v>
      </c>
      <c r="AE8" s="8">
        <v>0.87480000000000002</v>
      </c>
      <c r="AF8" s="8">
        <v>5.4999999999999997E-3</v>
      </c>
      <c r="AG8" s="8">
        <v>0.79290000000000005</v>
      </c>
      <c r="AH8" s="8">
        <v>5.8999999999999999E-3</v>
      </c>
      <c r="AI8" s="8">
        <v>0.83189999999999997</v>
      </c>
      <c r="AJ8" s="8">
        <v>3.3999999999999998E-3</v>
      </c>
      <c r="AK8" s="8">
        <v>0.94779999999999998</v>
      </c>
      <c r="AL8" s="8">
        <v>1.6000000000000001E-3</v>
      </c>
      <c r="AM8" s="8">
        <v>3.43</v>
      </c>
      <c r="AN8" s="9">
        <v>1.2</v>
      </c>
      <c r="AR8" s="6">
        <v>0.94379999999999997</v>
      </c>
      <c r="AS8" s="6">
        <v>1.1000000000000001E-3</v>
      </c>
      <c r="AY8" s="8">
        <v>0.93779999999999997</v>
      </c>
      <c r="AZ8">
        <v>2.3E-3</v>
      </c>
      <c r="BA8" s="26"/>
      <c r="BB8" s="26"/>
      <c r="BC8" s="26"/>
      <c r="BF8" s="10">
        <v>0.91869999999999996</v>
      </c>
      <c r="BG8">
        <v>1.4E-3</v>
      </c>
      <c r="BH8" s="26"/>
      <c r="BI8" s="26"/>
      <c r="BJ8" s="26"/>
      <c r="BM8" s="8">
        <v>0.86429999999999996</v>
      </c>
      <c r="BN8">
        <v>3.5000000000000001E-3</v>
      </c>
      <c r="BO8" s="26"/>
      <c r="BP8" s="26"/>
      <c r="BQ8" s="26"/>
      <c r="BS8" s="10">
        <v>0.94020000000000004</v>
      </c>
      <c r="BT8">
        <v>3.3999999999999998E-3</v>
      </c>
      <c r="BU8" s="26"/>
      <c r="BV8" s="26"/>
    </row>
    <row r="9" spans="5:74" ht="15.75" thickBot="1" x14ac:dyDescent="0.3">
      <c r="E9" s="171"/>
      <c r="F9" s="148"/>
      <c r="G9" s="46" t="s">
        <v>9</v>
      </c>
      <c r="H9" s="62">
        <v>0.94379999999999997</v>
      </c>
      <c r="I9" s="83">
        <v>1.1000000000000001E-3</v>
      </c>
      <c r="J9" s="10">
        <v>0.8982</v>
      </c>
      <c r="K9" s="10">
        <v>6.0000000000000001E-3</v>
      </c>
      <c r="L9" s="10">
        <v>0.87629999999999997</v>
      </c>
      <c r="M9" s="10">
        <v>9.5999999999999992E-3</v>
      </c>
      <c r="N9" s="10">
        <v>0.88700000000000001</v>
      </c>
      <c r="O9" s="10">
        <v>2.8999999999999998E-3</v>
      </c>
      <c r="P9" s="10">
        <v>0.96679999999999999</v>
      </c>
      <c r="Q9" s="10">
        <v>3.3E-3</v>
      </c>
      <c r="R9" s="10">
        <v>4785.16</v>
      </c>
      <c r="S9" s="11">
        <v>154.30000000000001</v>
      </c>
      <c r="Z9" s="150"/>
      <c r="AA9" s="153"/>
      <c r="AB9" s="46" t="s">
        <v>9</v>
      </c>
      <c r="AC9" s="62">
        <v>0.94379999999999997</v>
      </c>
      <c r="AD9" s="83">
        <v>1.1000000000000001E-3</v>
      </c>
      <c r="AE9" s="10">
        <v>0.8982</v>
      </c>
      <c r="AF9" s="10">
        <v>6.0000000000000001E-3</v>
      </c>
      <c r="AG9" s="10">
        <v>0.87629999999999997</v>
      </c>
      <c r="AH9" s="10">
        <v>9.5999999999999992E-3</v>
      </c>
      <c r="AI9" s="10">
        <v>0.88700000000000001</v>
      </c>
      <c r="AJ9" s="10">
        <v>2.8999999999999998E-3</v>
      </c>
      <c r="AK9" s="10">
        <v>0.96679999999999999</v>
      </c>
      <c r="AL9" s="10">
        <v>3.3E-3</v>
      </c>
      <c r="AM9" s="10">
        <v>4785.16</v>
      </c>
      <c r="AN9" s="11">
        <v>154.30000000000001</v>
      </c>
      <c r="AR9" s="12">
        <v>0.95440000000000003</v>
      </c>
      <c r="AS9" s="12">
        <v>2.8E-3</v>
      </c>
      <c r="AY9" s="14">
        <v>0.93030000000000002</v>
      </c>
      <c r="AZ9">
        <v>3.7000000000000002E-3</v>
      </c>
      <c r="BA9" s="26"/>
      <c r="BB9" s="26"/>
      <c r="BC9" s="26"/>
      <c r="BF9" s="12">
        <v>0.88700000000000001</v>
      </c>
      <c r="BG9">
        <v>4.7000000000000002E-3</v>
      </c>
      <c r="BH9" s="26"/>
      <c r="BI9" s="26"/>
      <c r="BJ9" s="26"/>
      <c r="BM9" s="14">
        <v>0.8871</v>
      </c>
      <c r="BN9">
        <v>4.7999999999999996E-3</v>
      </c>
      <c r="BO9" s="26"/>
      <c r="BP9" s="26"/>
      <c r="BQ9" s="26"/>
      <c r="BS9" s="12">
        <v>0.90459999999999996</v>
      </c>
      <c r="BT9">
        <v>2.8999999999999998E-3</v>
      </c>
      <c r="BU9" s="26"/>
      <c r="BV9" s="26"/>
    </row>
    <row r="10" spans="5:74" ht="15" customHeight="1" thickBot="1" x14ac:dyDescent="0.3">
      <c r="E10" s="171"/>
      <c r="F10" s="154" t="s">
        <v>1</v>
      </c>
      <c r="G10" s="47" t="s">
        <v>5</v>
      </c>
      <c r="H10" s="63">
        <v>0.9325</v>
      </c>
      <c r="I10" s="84">
        <v>1.5E-3</v>
      </c>
      <c r="J10" s="3">
        <v>0.89910000000000001</v>
      </c>
      <c r="K10" s="3">
        <v>6.8999999999999999E-3</v>
      </c>
      <c r="L10" s="3">
        <v>0.82469999999999999</v>
      </c>
      <c r="M10" s="3">
        <v>5.8999999999999999E-3</v>
      </c>
      <c r="N10" s="3">
        <v>0.86029999999999995</v>
      </c>
      <c r="O10" s="3">
        <v>3.0999999999999999E-3</v>
      </c>
      <c r="P10" s="3">
        <v>0.97570000000000001</v>
      </c>
      <c r="Q10" s="3">
        <v>8.0000000000000004E-4</v>
      </c>
      <c r="R10" s="3">
        <v>4.8099999999999996</v>
      </c>
      <c r="S10" s="64">
        <v>44.5</v>
      </c>
      <c r="Z10" s="150"/>
      <c r="AA10" s="153" t="s">
        <v>21</v>
      </c>
      <c r="AB10" s="51" t="s">
        <v>5</v>
      </c>
      <c r="AC10" s="75">
        <v>0.95440000000000003</v>
      </c>
      <c r="AD10" s="92">
        <v>2.8E-3</v>
      </c>
      <c r="AE10" s="12">
        <v>0.85529999999999995</v>
      </c>
      <c r="AF10" s="12">
        <v>5.1999999999999998E-3</v>
      </c>
      <c r="AG10" s="12">
        <v>0.87690000000000001</v>
      </c>
      <c r="AH10" s="12">
        <v>1.38E-2</v>
      </c>
      <c r="AI10" s="12">
        <v>0.8659</v>
      </c>
      <c r="AJ10" s="12">
        <v>8.8000000000000005E-3</v>
      </c>
      <c r="AK10" s="12">
        <v>0.98219999999999996</v>
      </c>
      <c r="AL10" s="12">
        <v>2.8999999999999998E-3</v>
      </c>
      <c r="AM10" s="12">
        <v>1.78</v>
      </c>
      <c r="AN10" s="13">
        <v>24</v>
      </c>
      <c r="AR10" s="12">
        <v>0.94610000000000005</v>
      </c>
      <c r="AS10" s="12">
        <v>3.0000000000000001E-3</v>
      </c>
      <c r="AY10" s="14">
        <v>0.94130000000000003</v>
      </c>
      <c r="AZ10">
        <v>3.3E-3</v>
      </c>
      <c r="BA10" s="26"/>
      <c r="BB10" s="26"/>
      <c r="BC10" s="26"/>
      <c r="BF10" s="14">
        <v>0.8659</v>
      </c>
      <c r="BG10">
        <v>1.8E-3</v>
      </c>
      <c r="BH10" s="26"/>
      <c r="BI10" s="26"/>
      <c r="BJ10" s="26"/>
      <c r="BM10" s="14">
        <v>0.90110000000000001</v>
      </c>
      <c r="BN10">
        <v>2.5000000000000001E-3</v>
      </c>
      <c r="BO10" s="26"/>
      <c r="BP10" s="26"/>
      <c r="BQ10" s="26"/>
      <c r="BS10" s="14">
        <v>0.90259999999999996</v>
      </c>
      <c r="BT10">
        <v>3.8999999999999998E-3</v>
      </c>
      <c r="BU10" s="26"/>
      <c r="BV10" s="26"/>
    </row>
    <row r="11" spans="5:74" ht="15.75" thickBot="1" x14ac:dyDescent="0.3">
      <c r="E11" s="171"/>
      <c r="F11" s="154"/>
      <c r="G11" s="48" t="s">
        <v>6</v>
      </c>
      <c r="H11" s="65">
        <v>0.94889999999999997</v>
      </c>
      <c r="I11" s="85">
        <v>1.6000000000000001E-3</v>
      </c>
      <c r="J11" s="1">
        <v>0.91490000000000005</v>
      </c>
      <c r="K11" s="1">
        <v>4.7999999999999996E-3</v>
      </c>
      <c r="L11" s="101">
        <v>0.87860000000000005</v>
      </c>
      <c r="M11" s="101">
        <v>5.0000000000000001E-3</v>
      </c>
      <c r="N11" s="1">
        <v>0.89639999999999997</v>
      </c>
      <c r="O11" s="1">
        <v>3.2000000000000002E-3</v>
      </c>
      <c r="P11" s="1">
        <v>0.98350000000000004</v>
      </c>
      <c r="Q11" s="1">
        <v>8.9999999999999998E-4</v>
      </c>
      <c r="R11" s="1">
        <v>4113.25</v>
      </c>
      <c r="S11" s="41">
        <v>8.1</v>
      </c>
      <c r="Z11" s="150"/>
      <c r="AA11" s="153"/>
      <c r="AB11" s="52" t="s">
        <v>6</v>
      </c>
      <c r="AC11" s="69">
        <v>0.94610000000000005</v>
      </c>
      <c r="AD11" s="90">
        <v>3.0000000000000001E-3</v>
      </c>
      <c r="AE11" s="14">
        <v>0.84630000000000005</v>
      </c>
      <c r="AF11" s="14">
        <v>7.4999999999999997E-3</v>
      </c>
      <c r="AG11" s="14">
        <v>0.83</v>
      </c>
      <c r="AH11" s="14">
        <v>1.21E-2</v>
      </c>
      <c r="AI11" s="14">
        <v>0.83809999999999996</v>
      </c>
      <c r="AJ11" s="14">
        <v>9.4000000000000004E-3</v>
      </c>
      <c r="AK11" s="14">
        <v>0.97799999999999998</v>
      </c>
      <c r="AL11" s="14">
        <v>2.7000000000000001E-3</v>
      </c>
      <c r="AM11" s="14">
        <v>374.85</v>
      </c>
      <c r="AN11" s="15">
        <v>10.8</v>
      </c>
      <c r="AR11" s="12">
        <v>0.91790000000000005</v>
      </c>
      <c r="AS11" s="12">
        <v>2.3999999999999998E-3</v>
      </c>
      <c r="AY11" s="14">
        <v>0.90159999999999996</v>
      </c>
      <c r="AZ11">
        <v>1.6000000000000001E-3</v>
      </c>
      <c r="BA11" s="26"/>
      <c r="BB11" s="26"/>
      <c r="BC11" s="26"/>
      <c r="BF11" s="14">
        <v>0.87919999999999998</v>
      </c>
      <c r="BG11">
        <v>4.5999999999999999E-3</v>
      </c>
      <c r="BH11" s="26"/>
      <c r="BI11" s="26"/>
      <c r="BJ11" s="26"/>
      <c r="BM11" s="14">
        <v>0.87029999999999996</v>
      </c>
      <c r="BN11">
        <v>2.2000000000000001E-3</v>
      </c>
      <c r="BO11" s="26"/>
      <c r="BP11" s="26"/>
      <c r="BQ11" s="26"/>
      <c r="BS11" s="14">
        <v>0.86750000000000005</v>
      </c>
      <c r="BT11">
        <v>4.1999999999999997E-3</v>
      </c>
      <c r="BU11" s="26"/>
      <c r="BV11" s="26"/>
    </row>
    <row r="12" spans="5:74" ht="15.75" thickBot="1" x14ac:dyDescent="0.3">
      <c r="E12" s="171"/>
      <c r="F12" s="154"/>
      <c r="G12" s="48" t="s">
        <v>7</v>
      </c>
      <c r="H12" s="66">
        <v>0.92530000000000001</v>
      </c>
      <c r="I12" s="86">
        <v>8.9999999999999998E-4</v>
      </c>
      <c r="J12" s="1">
        <v>0.93910000000000005</v>
      </c>
      <c r="K12" s="1">
        <v>3.0999999999999999E-3</v>
      </c>
      <c r="L12" s="1">
        <v>0.752</v>
      </c>
      <c r="M12" s="1">
        <v>3.7000000000000002E-3</v>
      </c>
      <c r="N12" s="1">
        <v>0.83520000000000005</v>
      </c>
      <c r="O12" s="1">
        <v>2.2000000000000001E-3</v>
      </c>
      <c r="P12" s="1">
        <v>0.97560000000000002</v>
      </c>
      <c r="Q12" s="1">
        <v>8.9999999999999998E-4</v>
      </c>
      <c r="R12" s="1">
        <v>16.399999999999999</v>
      </c>
      <c r="S12" s="41">
        <v>133.30000000000001</v>
      </c>
      <c r="Z12" s="150"/>
      <c r="AA12" s="153"/>
      <c r="AB12" s="52" t="s">
        <v>7</v>
      </c>
      <c r="AC12" s="69">
        <v>0.91790000000000005</v>
      </c>
      <c r="AD12" s="90">
        <v>2.3999999999999998E-3</v>
      </c>
      <c r="AE12" s="14">
        <v>0.89170000000000005</v>
      </c>
      <c r="AF12" s="14">
        <v>5.4000000000000003E-3</v>
      </c>
      <c r="AG12" s="14">
        <v>0.58169999999999999</v>
      </c>
      <c r="AH12" s="14">
        <v>1.2699999999999999E-2</v>
      </c>
      <c r="AI12" s="14">
        <v>0.70399999999999996</v>
      </c>
      <c r="AJ12" s="14">
        <v>1.0800000000000001E-2</v>
      </c>
      <c r="AK12" s="14">
        <v>0.96930000000000005</v>
      </c>
      <c r="AL12" s="14">
        <v>3.3999999999999998E-3</v>
      </c>
      <c r="AM12" s="14">
        <v>5.0199999999999996</v>
      </c>
      <c r="AN12" s="15">
        <v>128.80000000000001</v>
      </c>
      <c r="AR12" s="12">
        <v>0.90720000000000001</v>
      </c>
      <c r="AS12" s="12">
        <v>2.2000000000000001E-3</v>
      </c>
      <c r="AY12" s="14">
        <v>0.84319999999999995</v>
      </c>
      <c r="AZ12">
        <v>1.1999999999999999E-3</v>
      </c>
      <c r="BA12" s="26"/>
      <c r="BB12" s="26"/>
      <c r="BC12" s="26"/>
      <c r="BF12" s="14">
        <v>0.74780000000000002</v>
      </c>
      <c r="BG12">
        <v>1.04E-2</v>
      </c>
      <c r="BH12" s="26"/>
      <c r="BI12" s="26"/>
      <c r="BJ12" s="26"/>
      <c r="BM12" s="14">
        <v>0.80500000000000005</v>
      </c>
      <c r="BN12">
        <v>9.1000000000000004E-3</v>
      </c>
      <c r="BO12" s="26"/>
      <c r="BP12" s="26"/>
      <c r="BQ12" s="26"/>
      <c r="BS12" s="14">
        <v>0.78659999999999997</v>
      </c>
      <c r="BT12">
        <v>6.3E-3</v>
      </c>
      <c r="BU12" s="26"/>
      <c r="BV12" s="26"/>
    </row>
    <row r="13" spans="5:74" ht="15.75" thickBot="1" x14ac:dyDescent="0.3">
      <c r="E13" s="171"/>
      <c r="F13" s="154"/>
      <c r="G13" s="48" t="s">
        <v>8</v>
      </c>
      <c r="H13" s="66">
        <v>0.8619</v>
      </c>
      <c r="I13" s="86">
        <v>1.8E-3</v>
      </c>
      <c r="J13" s="100">
        <v>0.96299999999999997</v>
      </c>
      <c r="K13" s="100">
        <v>6.7000000000000002E-3</v>
      </c>
      <c r="L13" s="99">
        <v>0.46939999999999998</v>
      </c>
      <c r="M13" s="1">
        <v>8.9999999999999993E-3</v>
      </c>
      <c r="N13" s="1">
        <v>0.63109999999999999</v>
      </c>
      <c r="O13" s="1">
        <v>7.4000000000000003E-3</v>
      </c>
      <c r="P13" s="1">
        <v>0.96879999999999999</v>
      </c>
      <c r="Q13" s="1">
        <v>1.6000000000000001E-3</v>
      </c>
      <c r="R13" s="1">
        <v>3.86</v>
      </c>
      <c r="S13" s="41">
        <v>40.9</v>
      </c>
      <c r="Z13" s="150"/>
      <c r="AA13" s="153"/>
      <c r="AB13" s="52" t="s">
        <v>8</v>
      </c>
      <c r="AC13" s="69">
        <v>0.90720000000000001</v>
      </c>
      <c r="AD13" s="90">
        <v>2.2000000000000001E-3</v>
      </c>
      <c r="AE13" s="14">
        <v>0.90800000000000003</v>
      </c>
      <c r="AF13" s="14">
        <v>7.9000000000000008E-3</v>
      </c>
      <c r="AG13" s="14">
        <v>0.49790000000000001</v>
      </c>
      <c r="AH13" s="14">
        <v>1.0800000000000001E-2</v>
      </c>
      <c r="AI13" s="14">
        <v>0.6431</v>
      </c>
      <c r="AJ13" s="14">
        <v>1.04E-2</v>
      </c>
      <c r="AK13" s="14">
        <v>0.95660000000000001</v>
      </c>
      <c r="AL13" s="14">
        <v>4.1999999999999997E-3</v>
      </c>
      <c r="AM13" s="14">
        <v>0.98</v>
      </c>
      <c r="AN13" s="15">
        <v>0</v>
      </c>
      <c r="AR13" s="12">
        <v>0.94130000000000003</v>
      </c>
      <c r="AS13" s="12">
        <v>1E-3</v>
      </c>
      <c r="AY13" s="14">
        <v>0.93400000000000005</v>
      </c>
      <c r="AZ13">
        <v>3.3E-3</v>
      </c>
      <c r="BA13" s="26"/>
      <c r="BB13" s="26"/>
      <c r="BC13" s="26"/>
      <c r="BF13" s="16">
        <v>0.88919999999999999</v>
      </c>
      <c r="BG13">
        <v>6.8999999999999999E-3</v>
      </c>
      <c r="BH13" s="26"/>
      <c r="BI13" s="26"/>
      <c r="BJ13" s="26"/>
      <c r="BM13" s="14">
        <v>0.88839999999999997</v>
      </c>
      <c r="BN13">
        <v>4.1000000000000003E-3</v>
      </c>
      <c r="BO13" s="26"/>
      <c r="BP13" s="26"/>
      <c r="BQ13" s="26"/>
      <c r="BS13" s="16">
        <v>0.89990000000000003</v>
      </c>
      <c r="BT13">
        <v>5.5999999999999999E-3</v>
      </c>
      <c r="BU13" s="26"/>
      <c r="BV13" s="26"/>
    </row>
    <row r="14" spans="5:74" ht="15.75" thickBot="1" x14ac:dyDescent="0.3">
      <c r="E14" s="171"/>
      <c r="F14" s="154"/>
      <c r="G14" s="49" t="s">
        <v>9</v>
      </c>
      <c r="H14" s="67">
        <v>0.93779999999999997</v>
      </c>
      <c r="I14" s="87">
        <v>2.3E-3</v>
      </c>
      <c r="J14" s="4">
        <v>0.88400000000000001</v>
      </c>
      <c r="K14" s="4">
        <v>1.6E-2</v>
      </c>
      <c r="L14" s="4">
        <v>0.86739999999999995</v>
      </c>
      <c r="M14" s="4">
        <v>1.26E-2</v>
      </c>
      <c r="N14" s="4">
        <v>0.87539999999999996</v>
      </c>
      <c r="O14" s="4">
        <v>3.3999999999999998E-3</v>
      </c>
      <c r="P14" s="4">
        <v>0.96889999999999998</v>
      </c>
      <c r="Q14" s="4">
        <v>1.8E-3</v>
      </c>
      <c r="R14" s="4">
        <v>4269.92</v>
      </c>
      <c r="S14" s="68">
        <v>0</v>
      </c>
      <c r="Z14" s="150"/>
      <c r="AA14" s="153"/>
      <c r="AB14" s="53" t="s">
        <v>9</v>
      </c>
      <c r="AC14" s="74">
        <v>0.94130000000000003</v>
      </c>
      <c r="AD14" s="91">
        <v>1E-3</v>
      </c>
      <c r="AE14" s="16">
        <v>0.84670000000000001</v>
      </c>
      <c r="AF14" s="16">
        <v>8.0000000000000002E-3</v>
      </c>
      <c r="AG14" s="16">
        <v>0.79490000000000005</v>
      </c>
      <c r="AH14" s="16">
        <v>1.5599999999999999E-2</v>
      </c>
      <c r="AI14" s="16">
        <v>0.81979999999999997</v>
      </c>
      <c r="AJ14" s="16">
        <v>5.0000000000000001E-3</v>
      </c>
      <c r="AK14" s="16">
        <v>0.97160000000000002</v>
      </c>
      <c r="AL14" s="16">
        <v>3.3E-3</v>
      </c>
      <c r="AM14" s="16">
        <v>2014.88</v>
      </c>
      <c r="AN14" s="17">
        <v>195.3</v>
      </c>
      <c r="AR14" s="18">
        <v>0.97460000000000002</v>
      </c>
      <c r="AS14" s="18">
        <v>4.1000000000000003E-3</v>
      </c>
      <c r="AY14" s="20">
        <v>0.97850000000000004</v>
      </c>
      <c r="AZ14">
        <v>6.6E-3</v>
      </c>
      <c r="BA14" s="26"/>
      <c r="BB14" s="26"/>
      <c r="BC14" s="26"/>
      <c r="BF14" s="18">
        <v>0.95309999999999995</v>
      </c>
      <c r="BG14">
        <v>8.3000000000000001E-3</v>
      </c>
      <c r="BH14" s="26"/>
      <c r="BI14" s="26"/>
      <c r="BJ14" s="26"/>
      <c r="BM14" s="20">
        <v>0.90759999999999996</v>
      </c>
      <c r="BN14">
        <v>1.09E-2</v>
      </c>
      <c r="BO14" s="26"/>
      <c r="BP14" s="26"/>
      <c r="BQ14" s="26"/>
      <c r="BS14" s="18">
        <v>0.97409999999999997</v>
      </c>
      <c r="BT14">
        <v>4.7000000000000002E-3</v>
      </c>
      <c r="BU14" s="26"/>
      <c r="BV14" s="26"/>
    </row>
    <row r="15" spans="5:74" ht="15.75" thickBot="1" x14ac:dyDescent="0.3">
      <c r="E15" s="171"/>
      <c r="F15" s="155" t="s">
        <v>2</v>
      </c>
      <c r="G15" s="44" t="s">
        <v>5</v>
      </c>
      <c r="H15" s="60">
        <v>0.89890000000000003</v>
      </c>
      <c r="I15" s="81">
        <v>2.2000000000000001E-3</v>
      </c>
      <c r="J15" s="6">
        <v>0.83230000000000004</v>
      </c>
      <c r="K15" s="6">
        <v>6.4999999999999997E-3</v>
      </c>
      <c r="L15" s="6">
        <v>0.74950000000000006</v>
      </c>
      <c r="M15" s="6">
        <v>4.5999999999999999E-3</v>
      </c>
      <c r="N15" s="6">
        <v>0.78869999999999996</v>
      </c>
      <c r="O15" s="6">
        <v>4.4000000000000003E-3</v>
      </c>
      <c r="P15" s="6">
        <v>0.94499999999999995</v>
      </c>
      <c r="Q15" s="6">
        <v>1.6999999999999999E-3</v>
      </c>
      <c r="R15" s="6">
        <v>21.62</v>
      </c>
      <c r="S15" s="7">
        <v>240.6</v>
      </c>
      <c r="Z15" s="150"/>
      <c r="AA15" s="158" t="s">
        <v>17</v>
      </c>
      <c r="AB15" s="54" t="s">
        <v>5</v>
      </c>
      <c r="AC15" s="76">
        <v>0.97460000000000002</v>
      </c>
      <c r="AD15" s="93">
        <v>4.1000000000000003E-3</v>
      </c>
      <c r="AE15" s="18">
        <v>0.94159999999999999</v>
      </c>
      <c r="AF15" s="18">
        <v>1.7999999999999999E-2</v>
      </c>
      <c r="AG15" s="18">
        <v>0.97330000000000005</v>
      </c>
      <c r="AH15" s="18">
        <v>1.0999999999999999E-2</v>
      </c>
      <c r="AI15" s="18">
        <v>0.95699999999999996</v>
      </c>
      <c r="AJ15" s="18">
        <v>6.6E-3</v>
      </c>
      <c r="AK15" s="77">
        <v>0.99299999999999999</v>
      </c>
      <c r="AL15" s="77">
        <v>2.5000000000000001E-3</v>
      </c>
      <c r="AM15" s="77">
        <v>2.74</v>
      </c>
      <c r="AN15" s="19">
        <v>31.4</v>
      </c>
      <c r="AR15" s="18">
        <v>0.9587</v>
      </c>
      <c r="AS15" s="18">
        <v>6.4000000000000003E-3</v>
      </c>
      <c r="AY15" s="20">
        <v>0.98260000000000003</v>
      </c>
      <c r="AZ15">
        <v>6.4000000000000003E-3</v>
      </c>
      <c r="BA15" s="26"/>
      <c r="BB15" s="26"/>
      <c r="BC15" s="26"/>
      <c r="BF15" s="20">
        <v>0.9516</v>
      </c>
      <c r="BG15">
        <v>7.4999999999999997E-3</v>
      </c>
      <c r="BH15" s="26"/>
      <c r="BI15" s="26"/>
      <c r="BJ15" s="26"/>
      <c r="BM15" s="20">
        <v>0.91339999999999999</v>
      </c>
      <c r="BN15">
        <v>9.5999999999999992E-3</v>
      </c>
      <c r="BO15" s="26"/>
      <c r="BP15" s="26"/>
      <c r="BQ15" s="26"/>
      <c r="BS15" s="20">
        <v>0.9698</v>
      </c>
      <c r="BT15">
        <v>5.1999999999999998E-3</v>
      </c>
      <c r="BU15" s="26"/>
      <c r="BV15" s="26"/>
    </row>
    <row r="16" spans="5:74" ht="15.75" thickBot="1" x14ac:dyDescent="0.3">
      <c r="E16" s="171"/>
      <c r="F16" s="156"/>
      <c r="G16" s="45" t="s">
        <v>6</v>
      </c>
      <c r="H16" s="61">
        <v>0.9083</v>
      </c>
      <c r="I16" s="82">
        <v>2.3E-3</v>
      </c>
      <c r="J16" s="8">
        <v>0.83889999999999998</v>
      </c>
      <c r="K16" s="8">
        <v>4.7999999999999996E-3</v>
      </c>
      <c r="L16" s="8">
        <v>0.78680000000000005</v>
      </c>
      <c r="M16" s="8">
        <v>5.3E-3</v>
      </c>
      <c r="N16" s="8">
        <v>0.81200000000000006</v>
      </c>
      <c r="O16" s="8">
        <v>4.7999999999999996E-3</v>
      </c>
      <c r="P16" s="8">
        <v>0.95199999999999996</v>
      </c>
      <c r="Q16" s="8">
        <v>2.5999999999999999E-3</v>
      </c>
      <c r="R16" s="8">
        <v>839.5</v>
      </c>
      <c r="S16" s="9">
        <v>357.3</v>
      </c>
      <c r="Z16" s="150"/>
      <c r="AA16" s="158"/>
      <c r="AB16" s="55" t="s">
        <v>6</v>
      </c>
      <c r="AC16" s="65">
        <v>0.9587</v>
      </c>
      <c r="AD16" s="85">
        <v>6.4000000000000003E-3</v>
      </c>
      <c r="AE16" s="20">
        <v>0.90400000000000003</v>
      </c>
      <c r="AF16" s="20">
        <v>2.07E-2</v>
      </c>
      <c r="AG16" s="20">
        <v>0.96</v>
      </c>
      <c r="AH16" s="20">
        <v>4.1999999999999997E-3</v>
      </c>
      <c r="AI16" s="20">
        <v>0.93100000000000005</v>
      </c>
      <c r="AJ16" s="20">
        <v>9.7000000000000003E-3</v>
      </c>
      <c r="AK16" s="20">
        <v>0.99060000000000004</v>
      </c>
      <c r="AL16" s="20">
        <v>2.2000000000000001E-3</v>
      </c>
      <c r="AM16" s="20">
        <v>71.709999999999994</v>
      </c>
      <c r="AN16" s="21">
        <v>24.3</v>
      </c>
      <c r="AR16" s="18">
        <v>0.96879999999999999</v>
      </c>
      <c r="AS16" s="18">
        <v>2.8E-3</v>
      </c>
      <c r="AY16" s="20">
        <v>0.9698</v>
      </c>
      <c r="AZ16">
        <v>5.1000000000000004E-3</v>
      </c>
      <c r="BA16" s="26"/>
      <c r="BB16" s="26"/>
      <c r="BC16" s="26"/>
      <c r="BF16" s="20">
        <v>0.96809999999999996</v>
      </c>
      <c r="BG16">
        <v>5.0000000000000001E-3</v>
      </c>
      <c r="BH16" s="26"/>
      <c r="BI16" s="26"/>
      <c r="BJ16" s="26"/>
      <c r="BM16" s="20">
        <v>0.9093</v>
      </c>
      <c r="BN16">
        <v>8.0000000000000002E-3</v>
      </c>
      <c r="BO16" s="26"/>
      <c r="BP16" s="26"/>
      <c r="BQ16" s="26"/>
      <c r="BS16" s="20">
        <v>0.94630000000000003</v>
      </c>
      <c r="BT16">
        <v>6.8999999999999999E-3</v>
      </c>
      <c r="BU16" s="26"/>
      <c r="BV16" s="26"/>
    </row>
    <row r="17" spans="5:74" ht="15" customHeight="1" thickBot="1" x14ac:dyDescent="0.3">
      <c r="E17" s="171"/>
      <c r="F17" s="156"/>
      <c r="G17" s="45" t="s">
        <v>7</v>
      </c>
      <c r="H17" s="61">
        <v>0.9133</v>
      </c>
      <c r="I17" s="82">
        <v>3.7000000000000002E-3</v>
      </c>
      <c r="J17" s="8">
        <v>0.87209999999999999</v>
      </c>
      <c r="K17" s="8">
        <v>5.1999999999999998E-3</v>
      </c>
      <c r="L17" s="8">
        <v>0.76819999999999999</v>
      </c>
      <c r="M17" s="8">
        <v>1.1599999999999999E-2</v>
      </c>
      <c r="N17" s="8">
        <v>0.81689999999999996</v>
      </c>
      <c r="O17" s="8">
        <v>8.6E-3</v>
      </c>
      <c r="P17" s="8">
        <v>0.9647</v>
      </c>
      <c r="Q17" s="8">
        <v>1.5E-3</v>
      </c>
      <c r="R17" s="8">
        <v>134.49</v>
      </c>
      <c r="S17" s="9">
        <v>367.7</v>
      </c>
      <c r="Z17" s="150"/>
      <c r="AA17" s="158"/>
      <c r="AB17" s="55" t="s">
        <v>7</v>
      </c>
      <c r="AC17" s="65">
        <v>0.96879999999999999</v>
      </c>
      <c r="AD17" s="85">
        <v>2.8E-3</v>
      </c>
      <c r="AE17" s="20">
        <v>0.9536</v>
      </c>
      <c r="AF17" s="20">
        <v>1.0999999999999999E-2</v>
      </c>
      <c r="AG17" s="20">
        <v>0.93830000000000002</v>
      </c>
      <c r="AH17" s="20">
        <v>5.5999999999999999E-3</v>
      </c>
      <c r="AI17" s="20">
        <v>0.94579999999999997</v>
      </c>
      <c r="AJ17" s="20">
        <v>4.5999999999999999E-3</v>
      </c>
      <c r="AK17" s="20">
        <v>0.99370000000000003</v>
      </c>
      <c r="AL17" s="20">
        <v>1.5E-3</v>
      </c>
      <c r="AM17" s="20">
        <v>3.07</v>
      </c>
      <c r="AN17" s="21">
        <v>26.5</v>
      </c>
      <c r="AR17" s="18">
        <v>0.97529999999999994</v>
      </c>
      <c r="AS17" s="18">
        <v>3.5999999999999999E-3</v>
      </c>
      <c r="AY17" s="20">
        <v>0.8639</v>
      </c>
      <c r="AZ17">
        <v>9.9000000000000008E-3</v>
      </c>
      <c r="BA17" s="26"/>
      <c r="BB17" s="26"/>
      <c r="BC17" s="26"/>
      <c r="BF17" s="20">
        <v>0.87229999999999996</v>
      </c>
      <c r="BG17">
        <v>6.4999999999999997E-3</v>
      </c>
      <c r="BH17" s="26"/>
      <c r="BI17" s="26"/>
      <c r="BJ17" s="26"/>
      <c r="BM17" s="20">
        <v>0.70289999999999997</v>
      </c>
      <c r="BN17">
        <v>1.3100000000000001E-2</v>
      </c>
      <c r="BO17" s="26"/>
      <c r="BP17" s="26"/>
      <c r="BQ17" s="26"/>
      <c r="BS17" s="20">
        <v>0.91800000000000004</v>
      </c>
      <c r="BT17">
        <v>1.46E-2</v>
      </c>
      <c r="BU17" s="26"/>
      <c r="BV17" s="26"/>
    </row>
    <row r="18" spans="5:74" ht="15.75" thickBot="1" x14ac:dyDescent="0.3">
      <c r="E18" s="171"/>
      <c r="F18" s="156"/>
      <c r="G18" s="45" t="s">
        <v>18</v>
      </c>
      <c r="H18" s="61">
        <v>0.60309999999999997</v>
      </c>
      <c r="I18" s="82">
        <v>1.6000000000000001E-3</v>
      </c>
      <c r="J18" s="8">
        <v>0.37509999999999999</v>
      </c>
      <c r="K18" s="8">
        <v>1E-3</v>
      </c>
      <c r="L18" s="8">
        <v>0.86550000000000005</v>
      </c>
      <c r="M18" s="8">
        <v>6.8999999999999999E-3</v>
      </c>
      <c r="N18" s="8">
        <v>0.52339999999999998</v>
      </c>
      <c r="O18" s="8">
        <v>1.9E-3</v>
      </c>
      <c r="P18" s="8">
        <v>0.76670000000000005</v>
      </c>
      <c r="Q18" s="8">
        <v>2.3E-3</v>
      </c>
      <c r="R18" s="8">
        <v>20.62</v>
      </c>
      <c r="S18" s="9">
        <v>376.5</v>
      </c>
      <c r="Z18" s="150"/>
      <c r="AA18" s="158"/>
      <c r="AB18" s="55" t="s">
        <v>8</v>
      </c>
      <c r="AC18" s="65">
        <v>0.97529999999999994</v>
      </c>
      <c r="AD18" s="85">
        <v>3.5999999999999999E-3</v>
      </c>
      <c r="AE18" s="20">
        <v>0.96609999999999996</v>
      </c>
      <c r="AF18" s="20">
        <v>8.9999999999999993E-3</v>
      </c>
      <c r="AG18" s="20">
        <v>0.94830000000000003</v>
      </c>
      <c r="AH18" s="20">
        <v>8.5000000000000006E-3</v>
      </c>
      <c r="AI18" s="20">
        <v>0.95709999999999995</v>
      </c>
      <c r="AJ18" s="20">
        <v>6.1999999999999998E-3</v>
      </c>
      <c r="AK18" s="20">
        <v>0.99429999999999996</v>
      </c>
      <c r="AL18" s="20">
        <v>8.9999999999999998E-4</v>
      </c>
      <c r="AM18" s="20">
        <v>1.62</v>
      </c>
      <c r="AN18" s="21">
        <v>13.3</v>
      </c>
      <c r="AR18" s="18">
        <v>0.97629999999999995</v>
      </c>
      <c r="AS18" s="18">
        <v>4.5999999999999999E-3</v>
      </c>
      <c r="AY18" s="20">
        <v>0.98599999999999999</v>
      </c>
      <c r="AZ18">
        <v>3.5999999999999999E-3</v>
      </c>
      <c r="BA18" s="26"/>
      <c r="BB18" s="26"/>
      <c r="BC18" s="26"/>
      <c r="BF18" s="22">
        <v>0.96830000000000005</v>
      </c>
      <c r="BG18">
        <v>7.7000000000000002E-3</v>
      </c>
      <c r="BH18" s="26"/>
      <c r="BI18" s="26"/>
      <c r="BJ18" s="26"/>
      <c r="BM18" s="20">
        <v>0.94610000000000005</v>
      </c>
      <c r="BN18">
        <v>7.9000000000000008E-3</v>
      </c>
      <c r="BO18" s="26"/>
      <c r="BP18" s="26"/>
      <c r="BQ18" s="26"/>
      <c r="BS18" s="22">
        <v>0.97389999999999999</v>
      </c>
      <c r="BT18">
        <v>5.5999999999999999E-3</v>
      </c>
      <c r="BU18" s="26"/>
      <c r="BV18" s="26"/>
    </row>
    <row r="19" spans="5:74" ht="19.5" thickBot="1" x14ac:dyDescent="0.35">
      <c r="E19" s="171"/>
      <c r="F19" s="157"/>
      <c r="G19" s="46" t="s">
        <v>9</v>
      </c>
      <c r="H19" s="62">
        <v>0.91869999999999996</v>
      </c>
      <c r="I19" s="83">
        <v>1.4E-3</v>
      </c>
      <c r="J19" s="10">
        <v>0.83699999999999997</v>
      </c>
      <c r="K19" s="10">
        <v>9.4999999999999998E-3</v>
      </c>
      <c r="L19" s="10">
        <v>0.84150000000000003</v>
      </c>
      <c r="M19" s="10">
        <v>1.5100000000000001E-2</v>
      </c>
      <c r="N19" s="10">
        <v>0.83909999999999996</v>
      </c>
      <c r="O19" s="10">
        <v>4.0000000000000001E-3</v>
      </c>
      <c r="P19" s="10">
        <v>0.9526</v>
      </c>
      <c r="Q19" s="10">
        <v>4.8999999999999998E-3</v>
      </c>
      <c r="R19" s="10">
        <v>270.85000000000002</v>
      </c>
      <c r="S19" s="11">
        <v>365.8</v>
      </c>
      <c r="Z19" s="151"/>
      <c r="AA19" s="159"/>
      <c r="AB19" s="56" t="s">
        <v>9</v>
      </c>
      <c r="AC19" s="70">
        <v>0.97629999999999995</v>
      </c>
      <c r="AD19" s="94">
        <v>4.5999999999999999E-3</v>
      </c>
      <c r="AE19" s="22">
        <v>0.95950000000000002</v>
      </c>
      <c r="AF19" s="22">
        <v>1.5800000000000002E-2</v>
      </c>
      <c r="AG19" s="22">
        <v>0.95909999999999995</v>
      </c>
      <c r="AH19" s="22">
        <v>1.4E-2</v>
      </c>
      <c r="AI19" s="22">
        <v>0.95909999999999995</v>
      </c>
      <c r="AJ19" s="22">
        <v>7.9000000000000008E-3</v>
      </c>
      <c r="AK19" s="22">
        <v>0.9919</v>
      </c>
      <c r="AL19" s="22">
        <v>3.8E-3</v>
      </c>
      <c r="AM19" s="22">
        <v>632.36</v>
      </c>
      <c r="AN19" s="23">
        <v>262.8</v>
      </c>
      <c r="AQ19" t="s">
        <v>441</v>
      </c>
      <c r="AR19" s="30" t="s">
        <v>423</v>
      </c>
      <c r="AS19" s="33">
        <v>0.32240000000000002</v>
      </c>
      <c r="AT19" s="31"/>
      <c r="AU19" s="31"/>
      <c r="AV19" s="31"/>
      <c r="AW19" s="31"/>
      <c r="AX19" s="31"/>
      <c r="AY19" s="30" t="s">
        <v>424</v>
      </c>
      <c r="AZ19" s="33">
        <v>0.15049999999999999</v>
      </c>
      <c r="BA19" s="31"/>
      <c r="BB19" s="31"/>
      <c r="BC19" s="31"/>
      <c r="BD19" s="31"/>
      <c r="BE19" s="31"/>
      <c r="BF19" s="30" t="s">
        <v>423</v>
      </c>
      <c r="BG19" s="33">
        <v>9.9350000000000003E-4</v>
      </c>
      <c r="BH19" s="34"/>
      <c r="BI19" s="34"/>
      <c r="BJ19" s="34"/>
      <c r="BK19" s="31"/>
      <c r="BL19" s="31"/>
      <c r="BM19" s="30" t="s">
        <v>423</v>
      </c>
      <c r="BN19" s="33">
        <v>2.5000000000000001E-2</v>
      </c>
      <c r="BO19" s="34"/>
      <c r="BP19" s="34"/>
      <c r="BQ19" s="34"/>
      <c r="BR19" s="31"/>
      <c r="BS19" s="30" t="s">
        <v>423</v>
      </c>
      <c r="BT19" s="33">
        <v>6.8690000000000001E-3</v>
      </c>
      <c r="BU19" s="26"/>
      <c r="BV19" s="26"/>
    </row>
    <row r="20" spans="5:74" x14ac:dyDescent="0.25">
      <c r="E20" s="171"/>
      <c r="F20" s="187" t="s">
        <v>3</v>
      </c>
      <c r="G20" s="47" t="s">
        <v>5</v>
      </c>
      <c r="H20" s="63">
        <v>0.84009999999999996</v>
      </c>
      <c r="I20" s="84">
        <v>3.3999999999999998E-3</v>
      </c>
      <c r="J20" s="3">
        <v>0.78480000000000005</v>
      </c>
      <c r="K20" s="3">
        <v>1.2999999999999999E-2</v>
      </c>
      <c r="L20" s="3">
        <v>0.50280000000000002</v>
      </c>
      <c r="M20" s="3">
        <v>6.4000000000000003E-3</v>
      </c>
      <c r="N20" s="3">
        <v>0.6129</v>
      </c>
      <c r="O20" s="3">
        <v>7.6E-3</v>
      </c>
      <c r="P20" s="3">
        <v>0.87890000000000001</v>
      </c>
      <c r="Q20" s="3">
        <v>7.0000000000000001E-3</v>
      </c>
      <c r="R20" s="3">
        <v>68.709999999999994</v>
      </c>
      <c r="S20" s="64">
        <v>228.6</v>
      </c>
      <c r="AB20" s="25" t="s">
        <v>23</v>
      </c>
      <c r="AC20">
        <f>AVERAGE(AC5:AC19)</f>
        <v>0.94409333333333345</v>
      </c>
      <c r="AD20">
        <f t="shared" ref="AD20:AN20" si="0">AVERAGE(AD5:AD19)</f>
        <v>2.7733333333333334E-3</v>
      </c>
      <c r="AE20">
        <f t="shared" si="0"/>
        <v>0.90472666666666668</v>
      </c>
      <c r="AF20">
        <f t="shared" si="0"/>
        <v>8.9533333333333322E-3</v>
      </c>
      <c r="AG20">
        <f t="shared" si="0"/>
        <v>0.8258333333333332</v>
      </c>
      <c r="AH20">
        <f t="shared" si="0"/>
        <v>9.8933333333333356E-3</v>
      </c>
      <c r="AI20">
        <f t="shared" si="0"/>
        <v>0.85770666666666684</v>
      </c>
      <c r="AJ20">
        <f t="shared" si="0"/>
        <v>6.6666666666666671E-3</v>
      </c>
      <c r="AK20">
        <f t="shared" si="0"/>
        <v>0.97639999999999993</v>
      </c>
      <c r="AL20">
        <f t="shared" si="0"/>
        <v>2.453333333333333E-3</v>
      </c>
      <c r="AM20">
        <f t="shared" si="0"/>
        <v>698.25733333333335</v>
      </c>
      <c r="AN20">
        <f t="shared" si="0"/>
        <v>80.59999999999998</v>
      </c>
    </row>
    <row r="21" spans="5:74" x14ac:dyDescent="0.25">
      <c r="E21" s="171"/>
      <c r="F21" s="187"/>
      <c r="G21" s="48" t="s">
        <v>6</v>
      </c>
      <c r="H21" s="66">
        <v>0.8589</v>
      </c>
      <c r="I21" s="86">
        <v>3.3999999999999998E-3</v>
      </c>
      <c r="J21" s="1">
        <v>0.81899999999999995</v>
      </c>
      <c r="K21" s="1">
        <v>7.6E-3</v>
      </c>
      <c r="L21" s="1">
        <v>0.56440000000000001</v>
      </c>
      <c r="M21" s="1">
        <v>9.9000000000000008E-3</v>
      </c>
      <c r="N21" s="1">
        <v>0.66830000000000001</v>
      </c>
      <c r="O21" s="1">
        <v>9.1999999999999998E-3</v>
      </c>
      <c r="P21" s="1">
        <v>0.89300000000000002</v>
      </c>
      <c r="Q21" s="1">
        <v>3.3999999999999998E-3</v>
      </c>
      <c r="R21" s="1">
        <v>1773.81</v>
      </c>
      <c r="S21" s="41">
        <v>261.89999999999998</v>
      </c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R21" t="s">
        <v>436</v>
      </c>
      <c r="AS21">
        <f>TTEST(_xlfn.ANCHORARRAY(AR4),AY4:AY18, 1,3)</f>
        <v>0.13190093472842879</v>
      </c>
    </row>
    <row r="22" spans="5:74" ht="15" customHeight="1" thickBot="1" x14ac:dyDescent="0.3">
      <c r="E22" s="171"/>
      <c r="F22" s="187"/>
      <c r="G22" s="48" t="s">
        <v>7</v>
      </c>
      <c r="H22" s="66">
        <v>0.82310000000000005</v>
      </c>
      <c r="I22" s="86">
        <v>2.5999999999999999E-3</v>
      </c>
      <c r="J22" s="1">
        <v>0.85780000000000001</v>
      </c>
      <c r="K22" s="1">
        <v>9.4999999999999998E-3</v>
      </c>
      <c r="L22" s="1">
        <v>0.35659999999999997</v>
      </c>
      <c r="M22" s="1">
        <v>7.0000000000000001E-3</v>
      </c>
      <c r="N22" s="1">
        <v>0.50380000000000003</v>
      </c>
      <c r="O22" s="1">
        <v>8.5000000000000006E-3</v>
      </c>
      <c r="P22" s="1">
        <v>0.87809999999999999</v>
      </c>
      <c r="Q22" s="1">
        <v>2.5000000000000001E-3</v>
      </c>
      <c r="R22" s="1">
        <v>216.34</v>
      </c>
      <c r="S22" s="41">
        <v>335.1</v>
      </c>
    </row>
    <row r="23" spans="5:74" ht="15" customHeight="1" x14ac:dyDescent="0.25">
      <c r="E23" s="171"/>
      <c r="F23" s="187"/>
      <c r="G23" s="48" t="s">
        <v>18</v>
      </c>
      <c r="H23" s="66">
        <v>0.70530000000000004</v>
      </c>
      <c r="I23" s="86">
        <v>3.5999999999999999E-3</v>
      </c>
      <c r="J23" s="1">
        <v>0.40360000000000001</v>
      </c>
      <c r="K23" s="1">
        <v>8.5000000000000006E-3</v>
      </c>
      <c r="L23" s="1">
        <v>0.35730000000000001</v>
      </c>
      <c r="M23" s="1">
        <v>1.01E-2</v>
      </c>
      <c r="N23" s="1">
        <v>0.379</v>
      </c>
      <c r="O23" s="1">
        <v>9.2999999999999992E-3</v>
      </c>
      <c r="P23" s="1">
        <v>0.71009999999999995</v>
      </c>
      <c r="Q23" s="1">
        <v>3.3E-3</v>
      </c>
      <c r="R23" s="1">
        <v>68.47</v>
      </c>
      <c r="S23" s="41">
        <v>350.6</v>
      </c>
      <c r="Z23" s="149" t="s">
        <v>22</v>
      </c>
      <c r="AA23" s="152" t="s">
        <v>20</v>
      </c>
      <c r="AB23" s="6" t="s">
        <v>5</v>
      </c>
      <c r="AC23" s="6">
        <v>0.9325</v>
      </c>
      <c r="AD23" s="6">
        <v>1.5E-3</v>
      </c>
      <c r="AE23" s="6">
        <v>0.89910000000000001</v>
      </c>
      <c r="AF23" s="6">
        <v>6.8999999999999999E-3</v>
      </c>
      <c r="AG23" s="6">
        <v>0.82469999999999999</v>
      </c>
      <c r="AH23" s="6">
        <v>5.8999999999999999E-3</v>
      </c>
      <c r="AI23" s="6">
        <v>0.86029999999999995</v>
      </c>
      <c r="AJ23" s="6">
        <v>3.0999999999999999E-3</v>
      </c>
      <c r="AK23" s="6">
        <v>0.97570000000000001</v>
      </c>
      <c r="AL23" s="6">
        <v>8.0000000000000004E-4</v>
      </c>
      <c r="AM23" s="6">
        <v>4.8099999999999996</v>
      </c>
      <c r="AN23" s="7">
        <v>44.5</v>
      </c>
    </row>
    <row r="24" spans="5:74" ht="15.75" thickBot="1" x14ac:dyDescent="0.3">
      <c r="E24" s="171"/>
      <c r="F24" s="187"/>
      <c r="G24" s="49" t="s">
        <v>9</v>
      </c>
      <c r="H24" s="67">
        <v>0.86429999999999996</v>
      </c>
      <c r="I24" s="87">
        <v>3.5000000000000001E-3</v>
      </c>
      <c r="J24" s="4">
        <v>0.74119999999999997</v>
      </c>
      <c r="K24" s="4">
        <v>1.26E-2</v>
      </c>
      <c r="L24" s="4">
        <v>0.70920000000000005</v>
      </c>
      <c r="M24" s="4">
        <v>1.7899999999999999E-2</v>
      </c>
      <c r="N24" s="4">
        <v>0.72460000000000002</v>
      </c>
      <c r="O24" s="4">
        <v>7.9000000000000008E-3</v>
      </c>
      <c r="P24" s="4">
        <v>0.86919999999999997</v>
      </c>
      <c r="Q24" s="4">
        <v>7.4000000000000003E-3</v>
      </c>
      <c r="R24" s="4">
        <v>221.06</v>
      </c>
      <c r="S24" s="68">
        <v>376.2</v>
      </c>
      <c r="Z24" s="150"/>
      <c r="AA24" s="153"/>
      <c r="AB24" s="8" t="s">
        <v>6</v>
      </c>
      <c r="AC24" s="8">
        <v>0.94889999999999997</v>
      </c>
      <c r="AD24" s="8">
        <v>1.6000000000000001E-3</v>
      </c>
      <c r="AE24" s="8">
        <v>0.91490000000000005</v>
      </c>
      <c r="AF24" s="8">
        <v>4.7999999999999996E-3</v>
      </c>
      <c r="AG24" s="8">
        <v>0.87860000000000005</v>
      </c>
      <c r="AH24" s="8">
        <v>5.0000000000000001E-3</v>
      </c>
      <c r="AI24" s="8">
        <v>0.89639999999999997</v>
      </c>
      <c r="AJ24" s="8">
        <v>3.2000000000000002E-3</v>
      </c>
      <c r="AK24" s="8">
        <v>0.98350000000000004</v>
      </c>
      <c r="AL24" s="8">
        <v>8.9999999999999998E-4</v>
      </c>
      <c r="AM24" s="8">
        <v>4113.25</v>
      </c>
      <c r="AN24" s="9">
        <v>8.1</v>
      </c>
      <c r="AY24" t="s">
        <v>32</v>
      </c>
      <c r="AZ24">
        <f>TTEST(AY4:AY18,BF4:BF18, 1,3)</f>
        <v>4.6350108794069353E-2</v>
      </c>
      <c r="BF24" t="s">
        <v>35</v>
      </c>
      <c r="BG24">
        <f>TTEST(BF4:BF18,BM4:BM18, 1,3)</f>
        <v>0.19400900327992937</v>
      </c>
      <c r="BM24" t="s">
        <v>37</v>
      </c>
      <c r="BN24">
        <f>TTEST(BM4:BM18,BS4:BS18, 1,3)</f>
        <v>2.5003339939443019E-2</v>
      </c>
      <c r="BS24" t="s">
        <v>425</v>
      </c>
      <c r="BT24">
        <f>TTEST(BS4:BS18,BF4:BF18, 1,3)</f>
        <v>0.2041944734326292</v>
      </c>
    </row>
    <row r="25" spans="5:74" x14ac:dyDescent="0.25">
      <c r="E25" s="171"/>
      <c r="F25" s="146" t="s">
        <v>4</v>
      </c>
      <c r="G25" s="44" t="s">
        <v>5</v>
      </c>
      <c r="H25" s="60">
        <v>0.93120000000000003</v>
      </c>
      <c r="I25" s="81">
        <v>2.7000000000000001E-3</v>
      </c>
      <c r="J25" s="6">
        <v>0.87250000000000005</v>
      </c>
      <c r="K25" s="6">
        <v>2.3E-3</v>
      </c>
      <c r="L25" s="6">
        <v>0.85099999999999998</v>
      </c>
      <c r="M25" s="6">
        <v>1.2E-2</v>
      </c>
      <c r="N25" s="6">
        <v>0.86160000000000003</v>
      </c>
      <c r="O25" s="6">
        <v>6.4000000000000003E-3</v>
      </c>
      <c r="P25" s="6">
        <v>0.9728</v>
      </c>
      <c r="Q25" s="6">
        <v>2.3999999999999998E-3</v>
      </c>
      <c r="R25" s="6">
        <v>95.37</v>
      </c>
      <c r="S25" s="7">
        <v>121.7</v>
      </c>
      <c r="Z25" s="150"/>
      <c r="AA25" s="153"/>
      <c r="AB25" s="8" t="s">
        <v>7</v>
      </c>
      <c r="AC25" s="8">
        <v>0.92530000000000001</v>
      </c>
      <c r="AD25" s="8">
        <v>8.9999999999999998E-4</v>
      </c>
      <c r="AE25" s="8">
        <v>0.93910000000000005</v>
      </c>
      <c r="AF25" s="8">
        <v>3.0999999999999999E-3</v>
      </c>
      <c r="AG25" s="8">
        <v>0.752</v>
      </c>
      <c r="AH25" s="8">
        <v>3.7000000000000002E-3</v>
      </c>
      <c r="AI25" s="8">
        <v>0.83520000000000005</v>
      </c>
      <c r="AJ25" s="8">
        <v>2.2000000000000001E-3</v>
      </c>
      <c r="AK25" s="8">
        <v>0.97560000000000002</v>
      </c>
      <c r="AL25" s="8">
        <v>8.9999999999999998E-4</v>
      </c>
      <c r="AM25" s="8">
        <v>16.399999999999999</v>
      </c>
      <c r="AN25" s="9">
        <v>133.30000000000001</v>
      </c>
      <c r="AR25" s="144" t="s">
        <v>442</v>
      </c>
      <c r="AS25" s="144"/>
      <c r="AT25" s="144"/>
      <c r="AU25" s="144"/>
      <c r="AY25" t="s">
        <v>33</v>
      </c>
      <c r="AZ25" s="32">
        <f>TTEST(AY4:AY18,BM4:BM18, 1,3)</f>
        <v>1.1442564240257075E-3</v>
      </c>
      <c r="BF25" t="s">
        <v>36</v>
      </c>
      <c r="BG25">
        <f>TTEST(BF4:BF18,BS4:BS18, 1,3)</f>
        <v>0.2041944734326292</v>
      </c>
      <c r="BS25" t="s">
        <v>38</v>
      </c>
      <c r="BT25">
        <f>TTEST(BS4:BS18,BM4:BM18, 1,3)</f>
        <v>2.5003339939443019E-2</v>
      </c>
    </row>
    <row r="26" spans="5:74" x14ac:dyDescent="0.25">
      <c r="E26" s="171"/>
      <c r="F26" s="147"/>
      <c r="G26" s="45" t="s">
        <v>6</v>
      </c>
      <c r="H26" s="61">
        <v>0.9325</v>
      </c>
      <c r="I26" s="82">
        <v>1.8E-3</v>
      </c>
      <c r="J26" s="8">
        <v>0.88080000000000003</v>
      </c>
      <c r="K26" s="8">
        <v>3.2000000000000002E-3</v>
      </c>
      <c r="L26" s="8">
        <v>0.84640000000000004</v>
      </c>
      <c r="M26" s="8">
        <v>9.1999999999999998E-3</v>
      </c>
      <c r="N26" s="8">
        <v>0.86319999999999997</v>
      </c>
      <c r="O26" s="8">
        <v>4.4000000000000003E-3</v>
      </c>
      <c r="P26" s="8">
        <v>0.97050000000000003</v>
      </c>
      <c r="Q26" s="8">
        <v>1.8E-3</v>
      </c>
      <c r="R26" s="8">
        <v>3564.22</v>
      </c>
      <c r="S26" s="9">
        <v>0</v>
      </c>
      <c r="Z26" s="150"/>
      <c r="AA26" s="153"/>
      <c r="AB26" s="8" t="s">
        <v>8</v>
      </c>
      <c r="AC26" s="8">
        <v>0.8619</v>
      </c>
      <c r="AD26" s="8">
        <v>1.8E-3</v>
      </c>
      <c r="AE26" s="8">
        <v>0.96299999999999997</v>
      </c>
      <c r="AF26" s="8">
        <v>6.7000000000000002E-3</v>
      </c>
      <c r="AG26" s="8">
        <v>0.46939999999999998</v>
      </c>
      <c r="AH26" s="8">
        <v>8.9999999999999993E-3</v>
      </c>
      <c r="AI26" s="8">
        <v>0.63109999999999999</v>
      </c>
      <c r="AJ26" s="8">
        <v>7.4000000000000003E-3</v>
      </c>
      <c r="AK26" s="8">
        <v>0.96879999999999999</v>
      </c>
      <c r="AL26" s="8">
        <v>1.6000000000000001E-3</v>
      </c>
      <c r="AM26" s="8">
        <v>3.86</v>
      </c>
      <c r="AN26" s="9">
        <v>40.9</v>
      </c>
      <c r="AR26" t="s">
        <v>438</v>
      </c>
      <c r="AS26" t="s">
        <v>428</v>
      </c>
      <c r="AT26" t="s">
        <v>439</v>
      </c>
      <c r="AU26" t="s">
        <v>440</v>
      </c>
      <c r="AY26" t="s">
        <v>34</v>
      </c>
      <c r="AZ26">
        <f>TTEST(AY4:AY18,BS4:BS18, 1,3)</f>
        <v>0.14720603222876161</v>
      </c>
    </row>
    <row r="27" spans="5:74" x14ac:dyDescent="0.25">
      <c r="E27" s="171"/>
      <c r="F27" s="147"/>
      <c r="G27" s="45" t="s">
        <v>7</v>
      </c>
      <c r="H27" s="61">
        <v>0.92230000000000001</v>
      </c>
      <c r="I27" s="82">
        <v>4.1000000000000003E-3</v>
      </c>
      <c r="J27" s="8">
        <v>0.91120000000000001</v>
      </c>
      <c r="K27" s="8">
        <v>5.4000000000000003E-3</v>
      </c>
      <c r="L27" s="8">
        <v>0.76600000000000001</v>
      </c>
      <c r="M27" s="8">
        <v>1.72E-2</v>
      </c>
      <c r="N27" s="8">
        <v>0.83220000000000005</v>
      </c>
      <c r="O27" s="8">
        <v>1.0500000000000001E-2</v>
      </c>
      <c r="P27" s="8">
        <v>0.97240000000000004</v>
      </c>
      <c r="Q27" s="8">
        <v>2.5999999999999999E-3</v>
      </c>
      <c r="R27" s="8">
        <v>515.9</v>
      </c>
      <c r="S27" s="9">
        <v>1.5</v>
      </c>
      <c r="Z27" s="150"/>
      <c r="AA27" s="153"/>
      <c r="AB27" s="8" t="s">
        <v>9</v>
      </c>
      <c r="AC27" s="8">
        <v>0.93779999999999997</v>
      </c>
      <c r="AD27" s="8">
        <v>2.3E-3</v>
      </c>
      <c r="AE27" s="8">
        <v>0.88400000000000001</v>
      </c>
      <c r="AF27" s="8">
        <v>1.6E-2</v>
      </c>
      <c r="AG27" s="8">
        <v>0.86739999999999995</v>
      </c>
      <c r="AH27" s="8">
        <v>1.26E-2</v>
      </c>
      <c r="AI27" s="8">
        <v>0.87539999999999996</v>
      </c>
      <c r="AJ27" s="8">
        <v>3.3999999999999998E-3</v>
      </c>
      <c r="AK27" s="8">
        <v>0.96889999999999998</v>
      </c>
      <c r="AL27" s="8">
        <v>1.8E-3</v>
      </c>
      <c r="AM27" s="8">
        <v>4269.92</v>
      </c>
      <c r="AN27" s="9">
        <v>0</v>
      </c>
      <c r="AR27" t="s">
        <v>28</v>
      </c>
      <c r="AS27">
        <f>TTEST(AR4:AR18,AY4:AY18, 1,3)</f>
        <v>0.13190093472842879</v>
      </c>
      <c r="AT27" s="36" t="b">
        <v>0</v>
      </c>
      <c r="AU27" t="s">
        <v>435</v>
      </c>
    </row>
    <row r="28" spans="5:74" ht="15" customHeight="1" x14ac:dyDescent="0.25">
      <c r="E28" s="171"/>
      <c r="F28" s="147"/>
      <c r="G28" s="45" t="s">
        <v>8</v>
      </c>
      <c r="H28" s="61">
        <v>0.73260000000000003</v>
      </c>
      <c r="I28" s="82">
        <v>2E-3</v>
      </c>
      <c r="J28" s="8">
        <v>0.48149999999999998</v>
      </c>
      <c r="K28" s="8">
        <v>2.3E-3</v>
      </c>
      <c r="L28" s="8">
        <v>0.80759999999999998</v>
      </c>
      <c r="M28" s="8">
        <v>1.4E-3</v>
      </c>
      <c r="N28" s="8">
        <v>0.60329999999999995</v>
      </c>
      <c r="O28" s="8">
        <v>1.6000000000000001E-3</v>
      </c>
      <c r="P28" s="8">
        <v>0.81320000000000003</v>
      </c>
      <c r="Q28" s="8">
        <v>2.2000000000000001E-3</v>
      </c>
      <c r="R28" s="8">
        <v>84.7</v>
      </c>
      <c r="S28" s="9">
        <v>0.2</v>
      </c>
      <c r="Z28" s="150"/>
      <c r="AA28" s="153" t="s">
        <v>21</v>
      </c>
      <c r="AB28" s="14" t="s">
        <v>5</v>
      </c>
      <c r="AC28" s="14">
        <v>0.93030000000000002</v>
      </c>
      <c r="AD28" s="14">
        <v>3.7000000000000002E-3</v>
      </c>
      <c r="AE28" s="14">
        <v>0.88370000000000004</v>
      </c>
      <c r="AF28" s="14">
        <v>1.37E-2</v>
      </c>
      <c r="AG28" s="14">
        <v>0.67359999999999998</v>
      </c>
      <c r="AH28" s="14">
        <v>1.21E-2</v>
      </c>
      <c r="AI28" s="14">
        <v>0.76449999999999996</v>
      </c>
      <c r="AJ28" s="14">
        <v>1.2800000000000001E-2</v>
      </c>
      <c r="AK28" s="14">
        <v>0.97689999999999999</v>
      </c>
      <c r="AL28" s="14">
        <v>3.3E-3</v>
      </c>
      <c r="AM28" s="14">
        <v>1.87</v>
      </c>
      <c r="AN28" s="15">
        <v>23.4</v>
      </c>
      <c r="AR28" t="s">
        <v>29</v>
      </c>
      <c r="AS28" s="26">
        <v>2.1329999999999999E-3</v>
      </c>
      <c r="AT28" s="36" t="b">
        <v>1</v>
      </c>
      <c r="AU28" t="s">
        <v>437</v>
      </c>
    </row>
    <row r="29" spans="5:74" ht="15.75" thickBot="1" x14ac:dyDescent="0.3">
      <c r="E29" s="172"/>
      <c r="F29" s="148"/>
      <c r="G29" s="46" t="s">
        <v>9</v>
      </c>
      <c r="H29" s="62">
        <v>0.94020000000000004</v>
      </c>
      <c r="I29" s="83">
        <v>3.3999999999999998E-3</v>
      </c>
      <c r="J29" s="10">
        <v>0.88490000000000002</v>
      </c>
      <c r="K29" s="10">
        <v>1.09E-2</v>
      </c>
      <c r="L29" s="10">
        <v>0.87680000000000002</v>
      </c>
      <c r="M29" s="10">
        <v>1.6199999999999999E-2</v>
      </c>
      <c r="N29" s="10">
        <v>0.88070000000000004</v>
      </c>
      <c r="O29" s="10">
        <v>7.3000000000000001E-3</v>
      </c>
      <c r="P29" s="10">
        <v>0.96899999999999997</v>
      </c>
      <c r="Q29" s="10">
        <v>3.2000000000000002E-3</v>
      </c>
      <c r="R29" s="10">
        <v>936.53</v>
      </c>
      <c r="S29" s="11">
        <v>13.5</v>
      </c>
      <c r="Z29" s="150"/>
      <c r="AA29" s="153"/>
      <c r="AB29" s="14" t="s">
        <v>6</v>
      </c>
      <c r="AC29" s="14">
        <v>0.94130000000000003</v>
      </c>
      <c r="AD29" s="14">
        <v>3.3E-3</v>
      </c>
      <c r="AE29" s="14">
        <v>0.87139999999999995</v>
      </c>
      <c r="AF29" s="14">
        <v>1.09E-2</v>
      </c>
      <c r="AG29" s="14">
        <v>0.76339999999999997</v>
      </c>
      <c r="AH29" s="14">
        <v>1.11E-2</v>
      </c>
      <c r="AI29" s="14">
        <v>0.81379999999999997</v>
      </c>
      <c r="AJ29" s="14">
        <v>1.0699999999999999E-2</v>
      </c>
      <c r="AK29" s="14">
        <v>0.97729999999999995</v>
      </c>
      <c r="AL29" s="14">
        <v>3.0000000000000001E-3</v>
      </c>
      <c r="AM29" s="14">
        <v>693.15</v>
      </c>
      <c r="AN29" s="15">
        <v>9.9</v>
      </c>
      <c r="AR29" t="s">
        <v>30</v>
      </c>
      <c r="AS29" s="26">
        <v>1.5299999999999999E-5</v>
      </c>
      <c r="AT29" s="36" t="b">
        <v>1</v>
      </c>
      <c r="AU29" t="s">
        <v>437</v>
      </c>
    </row>
    <row r="30" spans="5:74" ht="15.75" thickBot="1" x14ac:dyDescent="0.3">
      <c r="E30" s="1"/>
      <c r="F30" s="5"/>
      <c r="G30" s="50"/>
      <c r="H30" s="71"/>
      <c r="I30" s="88"/>
      <c r="J30" s="5"/>
      <c r="K30" s="5"/>
      <c r="L30" s="5"/>
      <c r="M30" s="5"/>
      <c r="N30" s="5"/>
      <c r="O30" s="5"/>
      <c r="P30" s="5"/>
      <c r="Q30" s="5"/>
      <c r="R30" s="5"/>
      <c r="S30" s="72"/>
      <c r="Z30" s="150"/>
      <c r="AA30" s="153"/>
      <c r="AB30" s="14" t="s">
        <v>7</v>
      </c>
      <c r="AC30" s="14">
        <v>0.90159999999999996</v>
      </c>
      <c r="AD30" s="14">
        <v>1.6000000000000001E-3</v>
      </c>
      <c r="AE30" s="14">
        <v>0.90269999999999995</v>
      </c>
      <c r="AF30" s="14">
        <v>1.1299999999999999E-2</v>
      </c>
      <c r="AG30" s="14">
        <v>0.46429999999999999</v>
      </c>
      <c r="AH30" s="14">
        <v>1.11E-2</v>
      </c>
      <c r="AI30" s="14">
        <v>0.61309999999999998</v>
      </c>
      <c r="AJ30" s="14">
        <v>8.9999999999999993E-3</v>
      </c>
      <c r="AK30" s="14">
        <v>0.96650000000000003</v>
      </c>
      <c r="AL30" s="14">
        <v>1.9E-3</v>
      </c>
      <c r="AM30" s="14">
        <v>4.8499999999999996</v>
      </c>
      <c r="AN30" s="15">
        <v>129.80000000000001</v>
      </c>
      <c r="AR30" t="s">
        <v>31</v>
      </c>
      <c r="AS30">
        <v>3.3750000000000002E-2</v>
      </c>
      <c r="AT30" s="36" t="b">
        <v>1</v>
      </c>
      <c r="AU30" t="s">
        <v>437</v>
      </c>
    </row>
    <row r="31" spans="5:74" ht="15" customHeight="1" x14ac:dyDescent="0.25">
      <c r="E31" s="173" t="s">
        <v>16</v>
      </c>
      <c r="F31" s="189" t="s">
        <v>0</v>
      </c>
      <c r="G31" s="51" t="s">
        <v>5</v>
      </c>
      <c r="H31" s="73">
        <v>0.95440000000000003</v>
      </c>
      <c r="I31" s="89">
        <v>2.8E-3</v>
      </c>
      <c r="J31" s="12">
        <v>0.85529999999999995</v>
      </c>
      <c r="K31" s="12">
        <v>5.1999999999999998E-3</v>
      </c>
      <c r="L31" s="12">
        <v>0.87690000000000001</v>
      </c>
      <c r="M31" s="12">
        <v>1.38E-2</v>
      </c>
      <c r="N31" s="12">
        <v>0.8659</v>
      </c>
      <c r="O31" s="12">
        <v>8.8000000000000005E-3</v>
      </c>
      <c r="P31" s="12">
        <v>0.98219999999999996</v>
      </c>
      <c r="Q31" s="12">
        <v>2.8999999999999998E-3</v>
      </c>
      <c r="R31" s="12">
        <v>1.78</v>
      </c>
      <c r="S31" s="13">
        <v>24</v>
      </c>
      <c r="Z31" s="150"/>
      <c r="AA31" s="153"/>
      <c r="AB31" s="14" t="s">
        <v>8</v>
      </c>
      <c r="AC31" s="14">
        <v>0.84319999999999995</v>
      </c>
      <c r="AD31" s="14">
        <v>1.1999999999999999E-3</v>
      </c>
      <c r="AE31" s="14">
        <v>0.98080000000000001</v>
      </c>
      <c r="AF31" s="14">
        <v>1.8800000000000001E-2</v>
      </c>
      <c r="AG31" s="14">
        <v>6.7900000000000002E-2</v>
      </c>
      <c r="AH31" s="14">
        <v>8.5000000000000006E-3</v>
      </c>
      <c r="AI31" s="14">
        <v>0.1268</v>
      </c>
      <c r="AJ31" s="14">
        <v>1.4500000000000001E-2</v>
      </c>
      <c r="AK31" s="14">
        <v>0.92910000000000004</v>
      </c>
      <c r="AL31" s="14">
        <v>3.5999999999999999E-3</v>
      </c>
      <c r="AM31" s="14">
        <v>0.96</v>
      </c>
      <c r="AN31" s="15">
        <v>2.6</v>
      </c>
      <c r="AR31" t="s">
        <v>32</v>
      </c>
      <c r="AS31">
        <v>5.799E-2</v>
      </c>
      <c r="AT31" s="36" t="b">
        <v>0</v>
      </c>
      <c r="AU31" t="s">
        <v>437</v>
      </c>
    </row>
    <row r="32" spans="5:74" x14ac:dyDescent="0.25">
      <c r="E32" s="174"/>
      <c r="F32" s="190"/>
      <c r="G32" s="52" t="s">
        <v>6</v>
      </c>
      <c r="H32" s="69">
        <v>0.94610000000000005</v>
      </c>
      <c r="I32" s="90">
        <v>3.0000000000000001E-3</v>
      </c>
      <c r="J32" s="14">
        <v>0.84630000000000005</v>
      </c>
      <c r="K32" s="14">
        <v>7.4999999999999997E-3</v>
      </c>
      <c r="L32" s="14">
        <v>0.83</v>
      </c>
      <c r="M32" s="14">
        <v>1.21E-2</v>
      </c>
      <c r="N32" s="14">
        <v>0.83809999999999996</v>
      </c>
      <c r="O32" s="14">
        <v>9.4000000000000004E-3</v>
      </c>
      <c r="P32" s="14">
        <v>0.97799999999999998</v>
      </c>
      <c r="Q32" s="14">
        <v>2.7000000000000001E-3</v>
      </c>
      <c r="R32" s="14">
        <v>374.85</v>
      </c>
      <c r="S32" s="15">
        <v>10.8</v>
      </c>
      <c r="Z32" s="150"/>
      <c r="AA32" s="153"/>
      <c r="AB32" s="14" t="s">
        <v>9</v>
      </c>
      <c r="AC32" s="14">
        <v>0.93400000000000005</v>
      </c>
      <c r="AD32" s="14">
        <v>3.3E-3</v>
      </c>
      <c r="AE32" s="14">
        <v>0.83409999999999995</v>
      </c>
      <c r="AF32" s="14">
        <v>1.6E-2</v>
      </c>
      <c r="AG32" s="14">
        <v>0.75860000000000005</v>
      </c>
      <c r="AH32" s="14">
        <v>1.5900000000000001E-2</v>
      </c>
      <c r="AI32" s="14">
        <v>0.79430000000000001</v>
      </c>
      <c r="AJ32" s="14">
        <v>0.01</v>
      </c>
      <c r="AK32" s="14">
        <v>0.96819999999999995</v>
      </c>
      <c r="AL32" s="14">
        <v>3.8E-3</v>
      </c>
      <c r="AM32" s="14">
        <v>1694.2</v>
      </c>
      <c r="AN32" s="15">
        <v>194.6</v>
      </c>
      <c r="AR32" t="s">
        <v>33</v>
      </c>
      <c r="AS32">
        <v>7.0410000000000004E-4</v>
      </c>
      <c r="AT32" s="36" t="b">
        <v>1</v>
      </c>
      <c r="AU32" t="s">
        <v>437</v>
      </c>
    </row>
    <row r="33" spans="5:47" x14ac:dyDescent="0.25">
      <c r="E33" s="174"/>
      <c r="F33" s="190"/>
      <c r="G33" s="52" t="s">
        <v>7</v>
      </c>
      <c r="H33" s="69">
        <v>0.91790000000000005</v>
      </c>
      <c r="I33" s="90">
        <v>2.3999999999999998E-3</v>
      </c>
      <c r="J33" s="14">
        <v>0.89170000000000005</v>
      </c>
      <c r="K33" s="14">
        <v>5.4000000000000003E-3</v>
      </c>
      <c r="L33" s="14">
        <v>0.58169999999999999</v>
      </c>
      <c r="M33" s="14">
        <v>1.2699999999999999E-2</v>
      </c>
      <c r="N33" s="14">
        <v>0.70399999999999996</v>
      </c>
      <c r="O33" s="14">
        <v>1.0800000000000001E-2</v>
      </c>
      <c r="P33" s="14">
        <v>0.96930000000000005</v>
      </c>
      <c r="Q33" s="14">
        <v>3.3999999999999998E-3</v>
      </c>
      <c r="R33" s="14">
        <v>5.0199999999999996</v>
      </c>
      <c r="S33" s="15">
        <v>128.80000000000001</v>
      </c>
      <c r="Z33" s="150"/>
      <c r="AA33" s="158" t="s">
        <v>17</v>
      </c>
      <c r="AB33" s="20" t="s">
        <v>5</v>
      </c>
      <c r="AC33" s="20">
        <v>0.97850000000000004</v>
      </c>
      <c r="AD33" s="20">
        <v>6.6E-3</v>
      </c>
      <c r="AE33" s="20">
        <v>0.95660000000000001</v>
      </c>
      <c r="AF33" s="20">
        <v>1.4800000000000001E-2</v>
      </c>
      <c r="AG33" s="20">
        <v>0.97</v>
      </c>
      <c r="AH33" s="20">
        <v>1.4E-2</v>
      </c>
      <c r="AI33" s="20">
        <v>0.96319999999999995</v>
      </c>
      <c r="AJ33" s="20">
        <v>1.12E-2</v>
      </c>
      <c r="AK33" s="20">
        <v>0.997</v>
      </c>
      <c r="AL33" s="20">
        <v>8.9999999999999998E-4</v>
      </c>
      <c r="AM33" s="20">
        <v>2.17</v>
      </c>
      <c r="AN33" s="21">
        <v>32.9</v>
      </c>
      <c r="AR33" t="s">
        <v>34</v>
      </c>
      <c r="AS33">
        <v>0.17</v>
      </c>
      <c r="AT33" s="36" t="b">
        <v>0</v>
      </c>
      <c r="AU33" t="s">
        <v>437</v>
      </c>
    </row>
    <row r="34" spans="5:47" ht="15" customHeight="1" x14ac:dyDescent="0.25">
      <c r="E34" s="174"/>
      <c r="F34" s="190"/>
      <c r="G34" s="52" t="s">
        <v>8</v>
      </c>
      <c r="H34" s="69">
        <v>0.90720000000000001</v>
      </c>
      <c r="I34" s="90">
        <v>2.2000000000000001E-3</v>
      </c>
      <c r="J34" s="14">
        <v>0.90800000000000003</v>
      </c>
      <c r="K34" s="14">
        <v>7.9000000000000008E-3</v>
      </c>
      <c r="L34" s="14">
        <v>0.49790000000000001</v>
      </c>
      <c r="M34" s="14">
        <v>1.0800000000000001E-2</v>
      </c>
      <c r="N34" s="14">
        <v>0.6431</v>
      </c>
      <c r="O34" s="14">
        <v>1.04E-2</v>
      </c>
      <c r="P34" s="14">
        <v>0.95660000000000001</v>
      </c>
      <c r="Q34" s="14">
        <v>4.1999999999999997E-3</v>
      </c>
      <c r="R34" s="14">
        <v>0.98</v>
      </c>
      <c r="S34" s="15">
        <v>0</v>
      </c>
      <c r="Z34" s="150"/>
      <c r="AA34" s="158"/>
      <c r="AB34" s="20" t="s">
        <v>6</v>
      </c>
      <c r="AC34" s="20">
        <v>0.98260000000000003</v>
      </c>
      <c r="AD34" s="20">
        <v>6.4000000000000003E-3</v>
      </c>
      <c r="AE34" s="20">
        <v>0.95430000000000004</v>
      </c>
      <c r="AF34" s="20">
        <v>1.6400000000000001E-2</v>
      </c>
      <c r="AG34" s="20">
        <v>0.98750000000000004</v>
      </c>
      <c r="AH34" s="20">
        <v>6.4999999999999997E-3</v>
      </c>
      <c r="AI34" s="20">
        <v>0.97060000000000002</v>
      </c>
      <c r="AJ34" s="20">
        <v>1.0699999999999999E-2</v>
      </c>
      <c r="AK34" s="20">
        <v>0.99829999999999997</v>
      </c>
      <c r="AL34" s="20">
        <v>5.0000000000000001E-4</v>
      </c>
      <c r="AM34" s="20">
        <v>135.32</v>
      </c>
      <c r="AN34" s="21">
        <v>27.1</v>
      </c>
      <c r="AR34" t="s">
        <v>39</v>
      </c>
      <c r="AS34">
        <v>0.13350000000000001</v>
      </c>
      <c r="AT34" s="36" t="b">
        <v>0</v>
      </c>
      <c r="AU34" t="s">
        <v>437</v>
      </c>
    </row>
    <row r="35" spans="5:47" ht="15.75" customHeight="1" thickBot="1" x14ac:dyDescent="0.3">
      <c r="E35" s="174"/>
      <c r="F35" s="191"/>
      <c r="G35" s="53" t="s">
        <v>9</v>
      </c>
      <c r="H35" s="74">
        <v>0.94130000000000003</v>
      </c>
      <c r="I35" s="91">
        <v>1E-3</v>
      </c>
      <c r="J35" s="16">
        <v>0.84670000000000001</v>
      </c>
      <c r="K35" s="16">
        <v>8.0000000000000002E-3</v>
      </c>
      <c r="L35" s="16">
        <v>0.79490000000000005</v>
      </c>
      <c r="M35" s="16">
        <v>1.5599999999999999E-2</v>
      </c>
      <c r="N35" s="16">
        <v>0.81979999999999997</v>
      </c>
      <c r="O35" s="16">
        <v>5.0000000000000001E-3</v>
      </c>
      <c r="P35" s="16">
        <v>0.97160000000000002</v>
      </c>
      <c r="Q35" s="16">
        <v>3.3E-3</v>
      </c>
      <c r="R35" s="16">
        <v>2014.88</v>
      </c>
      <c r="S35" s="17">
        <v>195.3</v>
      </c>
      <c r="Z35" s="150"/>
      <c r="AA35" s="158"/>
      <c r="AB35" s="20" t="s">
        <v>7</v>
      </c>
      <c r="AC35" s="20">
        <v>0.9698</v>
      </c>
      <c r="AD35" s="20">
        <v>5.1000000000000004E-3</v>
      </c>
      <c r="AE35" s="20">
        <v>0.95669999999999999</v>
      </c>
      <c r="AF35" s="20">
        <v>1.23E-2</v>
      </c>
      <c r="AG35" s="20">
        <v>0.93830000000000002</v>
      </c>
      <c r="AH35" s="20">
        <v>8.8999999999999999E-3</v>
      </c>
      <c r="AI35" s="20">
        <v>0.94740000000000002</v>
      </c>
      <c r="AJ35" s="20">
        <v>8.8000000000000005E-3</v>
      </c>
      <c r="AK35" s="20">
        <v>0.99590000000000001</v>
      </c>
      <c r="AL35" s="20">
        <v>1.1000000000000001E-3</v>
      </c>
      <c r="AM35" s="20">
        <v>5.01</v>
      </c>
      <c r="AN35" s="21">
        <v>22.9</v>
      </c>
      <c r="AR35" t="s">
        <v>40</v>
      </c>
      <c r="AS35">
        <v>5.6280000000000002E-3</v>
      </c>
      <c r="AT35" s="36" t="b">
        <v>1</v>
      </c>
      <c r="AU35" t="s">
        <v>437</v>
      </c>
    </row>
    <row r="36" spans="5:47" x14ac:dyDescent="0.25">
      <c r="E36" s="174"/>
      <c r="F36" s="154" t="s">
        <v>1</v>
      </c>
      <c r="G36" s="47" t="s">
        <v>5</v>
      </c>
      <c r="H36" s="63">
        <v>0.93030000000000002</v>
      </c>
      <c r="I36" s="84">
        <v>3.7000000000000002E-3</v>
      </c>
      <c r="J36" s="3">
        <v>0.88370000000000004</v>
      </c>
      <c r="K36" s="3">
        <v>1.37E-2</v>
      </c>
      <c r="L36" s="3">
        <v>0.67359999999999998</v>
      </c>
      <c r="M36" s="3">
        <v>1.21E-2</v>
      </c>
      <c r="N36" s="3">
        <v>0.76449999999999996</v>
      </c>
      <c r="O36" s="3">
        <v>1.2800000000000001E-2</v>
      </c>
      <c r="P36" s="3">
        <v>0.97689999999999999</v>
      </c>
      <c r="Q36" s="3">
        <v>3.3E-3</v>
      </c>
      <c r="R36" s="3">
        <v>1.87</v>
      </c>
      <c r="S36" s="64">
        <v>23.4</v>
      </c>
      <c r="Z36" s="150"/>
      <c r="AA36" s="158"/>
      <c r="AB36" s="20" t="s">
        <v>8</v>
      </c>
      <c r="AC36" s="20">
        <v>0.8639</v>
      </c>
      <c r="AD36" s="20">
        <v>9.9000000000000008E-3</v>
      </c>
      <c r="AE36" s="20">
        <v>0.99850000000000005</v>
      </c>
      <c r="AF36" s="20">
        <v>2.8999999999999998E-3</v>
      </c>
      <c r="AG36" s="20">
        <v>0.53129999999999999</v>
      </c>
      <c r="AH36" s="20">
        <v>3.5400000000000001E-2</v>
      </c>
      <c r="AI36" s="20">
        <v>0.69279999999999997</v>
      </c>
      <c r="AJ36" s="20">
        <v>2.9700000000000001E-2</v>
      </c>
      <c r="AK36" s="20">
        <v>0.99639999999999995</v>
      </c>
      <c r="AL36" s="20">
        <v>1.5E-3</v>
      </c>
      <c r="AM36" s="20">
        <v>2.75</v>
      </c>
      <c r="AN36" s="21">
        <v>15.2</v>
      </c>
      <c r="AR36" t="s">
        <v>35</v>
      </c>
      <c r="AS36">
        <v>5.3220000000000003E-2</v>
      </c>
      <c r="AT36" s="36" t="b">
        <v>0</v>
      </c>
      <c r="AU36" t="s">
        <v>437</v>
      </c>
    </row>
    <row r="37" spans="5:47" ht="15.75" thickBot="1" x14ac:dyDescent="0.3">
      <c r="E37" s="174"/>
      <c r="F37" s="154"/>
      <c r="G37" s="48" t="s">
        <v>6</v>
      </c>
      <c r="H37" s="66">
        <v>0.94130000000000003</v>
      </c>
      <c r="I37" s="86">
        <v>3.3E-3</v>
      </c>
      <c r="J37" s="1">
        <v>0.87139999999999995</v>
      </c>
      <c r="K37" s="1">
        <v>1.09E-2</v>
      </c>
      <c r="L37" s="1">
        <v>0.76339999999999997</v>
      </c>
      <c r="M37" s="1">
        <v>1.11E-2</v>
      </c>
      <c r="N37" s="1">
        <v>0.81379999999999997</v>
      </c>
      <c r="O37" s="1">
        <v>1.0699999999999999E-2</v>
      </c>
      <c r="P37" s="1">
        <v>0.97729999999999995</v>
      </c>
      <c r="Q37" s="1">
        <v>3.0000000000000001E-3</v>
      </c>
      <c r="R37" s="1">
        <v>693.15</v>
      </c>
      <c r="S37" s="41">
        <v>9.9</v>
      </c>
      <c r="Z37" s="151"/>
      <c r="AA37" s="159"/>
      <c r="AB37" s="22" t="s">
        <v>9</v>
      </c>
      <c r="AC37" s="22">
        <v>0.98599999999999999</v>
      </c>
      <c r="AD37" s="22">
        <v>3.5999999999999999E-3</v>
      </c>
      <c r="AE37" s="22">
        <v>0.97589999999999999</v>
      </c>
      <c r="AF37" s="22">
        <v>7.9000000000000008E-3</v>
      </c>
      <c r="AG37" s="22">
        <v>0.9758</v>
      </c>
      <c r="AH37" s="22">
        <v>1.1299999999999999E-2</v>
      </c>
      <c r="AI37" s="22">
        <v>0.9758</v>
      </c>
      <c r="AJ37" s="22">
        <v>6.3E-3</v>
      </c>
      <c r="AK37" s="22">
        <v>0.99870000000000003</v>
      </c>
      <c r="AL37" s="22">
        <v>5.0000000000000001E-4</v>
      </c>
      <c r="AM37" s="22">
        <v>928.02</v>
      </c>
      <c r="AN37" s="23">
        <v>242.7</v>
      </c>
    </row>
    <row r="38" spans="5:47" x14ac:dyDescent="0.25">
      <c r="E38" s="174"/>
      <c r="F38" s="154"/>
      <c r="G38" s="48" t="s">
        <v>7</v>
      </c>
      <c r="H38" s="66">
        <v>0.90159999999999996</v>
      </c>
      <c r="I38" s="86">
        <v>1.6000000000000001E-3</v>
      </c>
      <c r="J38" s="1">
        <v>0.90269999999999995</v>
      </c>
      <c r="K38" s="1">
        <v>1.1299999999999999E-2</v>
      </c>
      <c r="L38" s="1">
        <v>0.46429999999999999</v>
      </c>
      <c r="M38" s="1">
        <v>1.11E-2</v>
      </c>
      <c r="N38" s="1">
        <v>0.61309999999999998</v>
      </c>
      <c r="O38" s="1">
        <v>8.9999999999999993E-3</v>
      </c>
      <c r="P38" s="1">
        <v>0.96650000000000003</v>
      </c>
      <c r="Q38" s="1">
        <v>1.9E-3</v>
      </c>
      <c r="R38" s="1">
        <v>4.8499999999999996</v>
      </c>
      <c r="S38" s="41">
        <v>129.80000000000001</v>
      </c>
      <c r="Z38" s="24"/>
      <c r="AB38" s="25"/>
      <c r="AC38">
        <f>AVERAGE(AC23:AC37)</f>
        <v>0.92917333333333318</v>
      </c>
      <c r="AD38">
        <f t="shared" ref="AD38:AN38" si="1">AVERAGE(AD23:AD37)</f>
        <v>3.5200000000000001E-3</v>
      </c>
      <c r="AE38">
        <f t="shared" si="1"/>
        <v>0.92765333333333322</v>
      </c>
      <c r="AF38">
        <f t="shared" si="1"/>
        <v>1.0833333333333334E-2</v>
      </c>
      <c r="AG38">
        <f t="shared" si="1"/>
        <v>0.72818666666666654</v>
      </c>
      <c r="AH38">
        <f t="shared" si="1"/>
        <v>1.14E-2</v>
      </c>
      <c r="AI38">
        <f t="shared" si="1"/>
        <v>0.78404666666666656</v>
      </c>
      <c r="AJ38">
        <f t="shared" si="1"/>
        <v>9.5333333333333346E-3</v>
      </c>
      <c r="AK38">
        <f t="shared" si="1"/>
        <v>0.97845333333333318</v>
      </c>
      <c r="AL38">
        <f t="shared" si="1"/>
        <v>1.7400000000000004E-3</v>
      </c>
      <c r="AM38">
        <f t="shared" si="1"/>
        <v>791.76933333333341</v>
      </c>
      <c r="AN38">
        <f t="shared" si="1"/>
        <v>61.860000000000007</v>
      </c>
    </row>
    <row r="39" spans="5:47" ht="15.75" thickBot="1" x14ac:dyDescent="0.3">
      <c r="E39" s="174"/>
      <c r="F39" s="154"/>
      <c r="G39" s="48" t="s">
        <v>8</v>
      </c>
      <c r="H39" s="66">
        <v>0.84319999999999995</v>
      </c>
      <c r="I39" s="86">
        <v>1.1999999999999999E-3</v>
      </c>
      <c r="J39" s="1">
        <v>0.98080000000000001</v>
      </c>
      <c r="K39" s="1">
        <v>1.8800000000000001E-2</v>
      </c>
      <c r="L39" s="1">
        <v>6.7900000000000002E-2</v>
      </c>
      <c r="M39" s="1">
        <v>8.5000000000000006E-3</v>
      </c>
      <c r="N39" s="1">
        <v>0.1268</v>
      </c>
      <c r="O39" s="1">
        <v>1.4500000000000001E-2</v>
      </c>
      <c r="P39" s="1">
        <v>0.92910000000000004</v>
      </c>
      <c r="Q39" s="1">
        <v>3.5999999999999999E-3</v>
      </c>
      <c r="R39" s="1">
        <v>0.96</v>
      </c>
      <c r="S39" s="41">
        <v>2.6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47" ht="15.75" customHeight="1" thickBot="1" x14ac:dyDescent="0.3">
      <c r="E40" s="174"/>
      <c r="F40" s="154"/>
      <c r="G40" s="49" t="s">
        <v>9</v>
      </c>
      <c r="H40" s="67">
        <v>0.93400000000000005</v>
      </c>
      <c r="I40" s="87">
        <v>3.3E-3</v>
      </c>
      <c r="J40" s="4">
        <v>0.83409999999999995</v>
      </c>
      <c r="K40" s="4">
        <v>1.6E-2</v>
      </c>
      <c r="L40" s="4">
        <v>0.75860000000000005</v>
      </c>
      <c r="M40" s="4">
        <v>1.5900000000000001E-2</v>
      </c>
      <c r="N40" s="4">
        <v>0.79430000000000001</v>
      </c>
      <c r="O40" s="4">
        <v>0.01</v>
      </c>
      <c r="P40" s="4">
        <v>0.96819999999999995</v>
      </c>
      <c r="Q40" s="4">
        <v>3.8E-3</v>
      </c>
      <c r="R40" s="4">
        <v>1694.2</v>
      </c>
      <c r="S40" s="68">
        <v>194.6</v>
      </c>
      <c r="Z40" s="207" t="s">
        <v>2</v>
      </c>
      <c r="AA40" s="153" t="s">
        <v>20</v>
      </c>
      <c r="AB40" s="6" t="s">
        <v>5</v>
      </c>
      <c r="AC40" s="60">
        <v>0.89890000000000003</v>
      </c>
      <c r="AD40" s="81">
        <v>2.2000000000000001E-3</v>
      </c>
      <c r="AE40" s="6">
        <v>0.83230000000000004</v>
      </c>
      <c r="AF40" s="6">
        <v>6.4999999999999997E-3</v>
      </c>
      <c r="AG40" s="6">
        <v>0.74950000000000006</v>
      </c>
      <c r="AH40" s="6">
        <v>4.5999999999999999E-3</v>
      </c>
      <c r="AI40" s="6">
        <v>0.78869999999999996</v>
      </c>
      <c r="AJ40" s="6">
        <v>4.4000000000000003E-3</v>
      </c>
      <c r="AK40" s="6">
        <v>0.94499999999999995</v>
      </c>
      <c r="AL40" s="6">
        <v>1.6999999999999999E-3</v>
      </c>
      <c r="AM40" s="6">
        <v>21.62</v>
      </c>
      <c r="AN40" s="7">
        <v>240.6</v>
      </c>
    </row>
    <row r="41" spans="5:47" ht="15" customHeight="1" x14ac:dyDescent="0.25">
      <c r="E41" s="174"/>
      <c r="F41" s="192" t="s">
        <v>2</v>
      </c>
      <c r="G41" s="51" t="s">
        <v>5</v>
      </c>
      <c r="H41" s="75">
        <v>0.88700000000000001</v>
      </c>
      <c r="I41" s="92">
        <v>4.7000000000000002E-3</v>
      </c>
      <c r="J41" s="12">
        <v>0.7077</v>
      </c>
      <c r="K41" s="12">
        <v>2.3900000000000001E-2</v>
      </c>
      <c r="L41" s="12">
        <v>0.55920000000000003</v>
      </c>
      <c r="M41" s="12">
        <v>1.01E-2</v>
      </c>
      <c r="N41" s="12">
        <v>0.62450000000000006</v>
      </c>
      <c r="O41" s="12">
        <v>1.14E-2</v>
      </c>
      <c r="P41" s="12">
        <v>0.93330000000000002</v>
      </c>
      <c r="Q41" s="12">
        <v>5.0000000000000001E-3</v>
      </c>
      <c r="R41" s="12">
        <v>8.69</v>
      </c>
      <c r="S41" s="13">
        <v>76.8</v>
      </c>
      <c r="Z41" s="207"/>
      <c r="AA41" s="153"/>
      <c r="AB41" s="8" t="s">
        <v>6</v>
      </c>
      <c r="AC41" s="61">
        <v>0.9083</v>
      </c>
      <c r="AD41" s="82">
        <v>2.3E-3</v>
      </c>
      <c r="AE41" s="8">
        <v>0.83889999999999998</v>
      </c>
      <c r="AF41" s="8">
        <v>4.7999999999999996E-3</v>
      </c>
      <c r="AG41" s="8">
        <v>0.78680000000000005</v>
      </c>
      <c r="AH41" s="8">
        <v>5.3E-3</v>
      </c>
      <c r="AI41" s="8">
        <v>0.81200000000000006</v>
      </c>
      <c r="AJ41" s="8">
        <v>4.7999999999999996E-3</v>
      </c>
      <c r="AK41" s="8">
        <v>0.95199999999999996</v>
      </c>
      <c r="AL41" s="8">
        <v>2.5999999999999999E-3</v>
      </c>
      <c r="AM41" s="8">
        <v>839.5</v>
      </c>
      <c r="AN41" s="9">
        <v>357.3</v>
      </c>
    </row>
    <row r="42" spans="5:47" x14ac:dyDescent="0.25">
      <c r="E42" s="174"/>
      <c r="F42" s="193"/>
      <c r="G42" s="52" t="s">
        <v>6</v>
      </c>
      <c r="H42" s="69">
        <v>0.8659</v>
      </c>
      <c r="I42" s="90">
        <v>1.8E-3</v>
      </c>
      <c r="J42" s="14">
        <v>0.71740000000000004</v>
      </c>
      <c r="K42" s="14">
        <v>0.02</v>
      </c>
      <c r="L42" s="14">
        <v>0.33329999999999999</v>
      </c>
      <c r="M42" s="14">
        <v>8.6999999999999994E-3</v>
      </c>
      <c r="N42" s="14">
        <v>0.45500000000000002</v>
      </c>
      <c r="O42" s="14">
        <v>6.7000000000000002E-3</v>
      </c>
      <c r="P42" s="14">
        <v>0.91090000000000004</v>
      </c>
      <c r="Q42" s="14">
        <v>5.1000000000000004E-3</v>
      </c>
      <c r="R42" s="14">
        <v>139.9</v>
      </c>
      <c r="S42" s="15">
        <v>187.4</v>
      </c>
      <c r="Z42" s="207"/>
      <c r="AA42" s="153"/>
      <c r="AB42" s="8" t="s">
        <v>7</v>
      </c>
      <c r="AC42" s="61">
        <v>0.9133</v>
      </c>
      <c r="AD42" s="82">
        <v>3.7000000000000002E-3</v>
      </c>
      <c r="AE42" s="8">
        <v>0.87209999999999999</v>
      </c>
      <c r="AF42" s="8">
        <v>5.1999999999999998E-3</v>
      </c>
      <c r="AG42" s="8">
        <v>0.76819999999999999</v>
      </c>
      <c r="AH42" s="8">
        <v>1.1599999999999999E-2</v>
      </c>
      <c r="AI42" s="8">
        <v>0.81689999999999996</v>
      </c>
      <c r="AJ42" s="8">
        <v>8.6E-3</v>
      </c>
      <c r="AK42" s="8">
        <v>0.9647</v>
      </c>
      <c r="AL42" s="8">
        <v>1.5E-3</v>
      </c>
      <c r="AM42" s="8">
        <v>134.49</v>
      </c>
      <c r="AN42" s="9">
        <v>367.7</v>
      </c>
      <c r="AR42" s="143" t="s">
        <v>426</v>
      </c>
      <c r="AS42" s="143"/>
      <c r="AT42" s="143"/>
    </row>
    <row r="43" spans="5:47" ht="15" customHeight="1" x14ac:dyDescent="0.25">
      <c r="E43" s="174"/>
      <c r="F43" s="193"/>
      <c r="G43" s="52" t="s">
        <v>7</v>
      </c>
      <c r="H43" s="69">
        <v>0.87919999999999998</v>
      </c>
      <c r="I43" s="90">
        <v>4.5999999999999999E-3</v>
      </c>
      <c r="J43" s="14">
        <v>0.70569999999999999</v>
      </c>
      <c r="K43" s="14">
        <v>2.75E-2</v>
      </c>
      <c r="L43" s="14">
        <v>0.48349999999999999</v>
      </c>
      <c r="M43" s="14">
        <v>7.4999999999999997E-3</v>
      </c>
      <c r="N43" s="14">
        <v>0.5736</v>
      </c>
      <c r="O43" s="14">
        <v>1.03E-2</v>
      </c>
      <c r="P43" s="14">
        <v>0.91810000000000003</v>
      </c>
      <c r="Q43" s="14">
        <v>4.7000000000000002E-3</v>
      </c>
      <c r="R43" s="14">
        <v>62.1</v>
      </c>
      <c r="S43" s="15">
        <v>202.5</v>
      </c>
      <c r="Z43" s="207"/>
      <c r="AA43" s="153"/>
      <c r="AB43" s="8" t="s">
        <v>18</v>
      </c>
      <c r="AC43" s="61">
        <v>0.60309999999999997</v>
      </c>
      <c r="AD43" s="82">
        <v>1.6000000000000001E-3</v>
      </c>
      <c r="AE43" s="8">
        <v>0.37509999999999999</v>
      </c>
      <c r="AF43" s="8">
        <v>1E-3</v>
      </c>
      <c r="AG43" s="8">
        <v>0.86550000000000005</v>
      </c>
      <c r="AH43" s="8">
        <v>6.8999999999999999E-3</v>
      </c>
      <c r="AI43" s="8">
        <v>0.52339999999999998</v>
      </c>
      <c r="AJ43" s="8">
        <v>1.9E-3</v>
      </c>
      <c r="AK43" s="8">
        <v>0.76670000000000005</v>
      </c>
      <c r="AL43" s="8">
        <v>2.3E-3</v>
      </c>
      <c r="AM43" s="8">
        <v>20.62</v>
      </c>
      <c r="AN43" s="9">
        <v>376.5</v>
      </c>
      <c r="AR43" s="33" t="s">
        <v>24</v>
      </c>
      <c r="AS43" s="33" t="s">
        <v>427</v>
      </c>
      <c r="AT43" s="33" t="s">
        <v>428</v>
      </c>
      <c r="AU43" s="33" t="s">
        <v>434</v>
      </c>
    </row>
    <row r="44" spans="5:47" ht="15.75" thickBot="1" x14ac:dyDescent="0.3">
      <c r="E44" s="174"/>
      <c r="F44" s="193"/>
      <c r="G44" s="52" t="s">
        <v>18</v>
      </c>
      <c r="H44" s="69">
        <v>0.74780000000000002</v>
      </c>
      <c r="I44" s="90">
        <v>1.04E-2</v>
      </c>
      <c r="J44" s="14">
        <v>0.36670000000000003</v>
      </c>
      <c r="K44" s="14">
        <v>1.38E-2</v>
      </c>
      <c r="L44" s="14">
        <v>0.68830000000000002</v>
      </c>
      <c r="M44" s="14">
        <v>1.17E-2</v>
      </c>
      <c r="N44" s="14">
        <v>0.47839999999999999</v>
      </c>
      <c r="O44" s="14">
        <v>1.43E-2</v>
      </c>
      <c r="P44" s="14">
        <v>0.8024</v>
      </c>
      <c r="Q44" s="14">
        <v>1.01E-2</v>
      </c>
      <c r="R44" s="14">
        <v>8.23</v>
      </c>
      <c r="S44" s="15">
        <v>211.8</v>
      </c>
      <c r="Z44" s="207"/>
      <c r="AA44" s="153"/>
      <c r="AB44" s="10" t="s">
        <v>9</v>
      </c>
      <c r="AC44" s="62">
        <v>0.91869999999999996</v>
      </c>
      <c r="AD44" s="83">
        <v>1.4E-3</v>
      </c>
      <c r="AE44" s="10">
        <v>0.83699999999999997</v>
      </c>
      <c r="AF44" s="10">
        <v>9.4999999999999998E-3</v>
      </c>
      <c r="AG44" s="10">
        <v>0.84150000000000003</v>
      </c>
      <c r="AH44" s="10">
        <v>1.5100000000000001E-2</v>
      </c>
      <c r="AI44" s="10">
        <v>0.83909999999999996</v>
      </c>
      <c r="AJ44" s="10">
        <v>4.0000000000000001E-3</v>
      </c>
      <c r="AK44" s="10">
        <v>0.9526</v>
      </c>
      <c r="AL44" s="10">
        <v>4.8999999999999998E-3</v>
      </c>
      <c r="AM44" s="10">
        <v>270.85000000000002</v>
      </c>
      <c r="AN44" s="11">
        <v>365.8</v>
      </c>
      <c r="AR44" s="33" t="s">
        <v>430</v>
      </c>
      <c r="AS44" s="33">
        <v>0.93488000000000004</v>
      </c>
      <c r="AT44" s="33">
        <v>0.32240000000000002</v>
      </c>
      <c r="AU44" s="36" t="b">
        <v>1</v>
      </c>
    </row>
    <row r="45" spans="5:47" ht="15.75" customHeight="1" thickBot="1" x14ac:dyDescent="0.3">
      <c r="E45" s="174"/>
      <c r="F45" s="194"/>
      <c r="G45" s="53" t="s">
        <v>9</v>
      </c>
      <c r="H45" s="74">
        <v>0.88919999999999999</v>
      </c>
      <c r="I45" s="91">
        <v>6.8999999999999999E-3</v>
      </c>
      <c r="J45" s="16">
        <v>0.6552</v>
      </c>
      <c r="K45" s="16">
        <v>3.5700000000000003E-2</v>
      </c>
      <c r="L45" s="16">
        <v>0.73599999999999999</v>
      </c>
      <c r="M45" s="16">
        <v>7.5600000000000001E-2</v>
      </c>
      <c r="N45" s="16">
        <v>0.6895</v>
      </c>
      <c r="O45" s="16">
        <v>1.95E-2</v>
      </c>
      <c r="P45" s="16">
        <v>0.94330000000000003</v>
      </c>
      <c r="Q45" s="16">
        <v>3.7000000000000002E-3</v>
      </c>
      <c r="R45" s="16">
        <v>311.61</v>
      </c>
      <c r="S45" s="17">
        <v>227.5</v>
      </c>
      <c r="Z45" s="207"/>
      <c r="AA45" s="153" t="s">
        <v>21</v>
      </c>
      <c r="AB45" s="12" t="s">
        <v>5</v>
      </c>
      <c r="AC45" s="75">
        <v>0.88700000000000001</v>
      </c>
      <c r="AD45" s="92">
        <v>4.7000000000000002E-3</v>
      </c>
      <c r="AE45" s="12">
        <v>0.7077</v>
      </c>
      <c r="AF45" s="12">
        <v>2.3900000000000001E-2</v>
      </c>
      <c r="AG45" s="12">
        <v>0.55920000000000003</v>
      </c>
      <c r="AH45" s="12">
        <v>1.01E-2</v>
      </c>
      <c r="AI45" s="12">
        <v>0.62450000000000006</v>
      </c>
      <c r="AJ45" s="12">
        <v>1.14E-2</v>
      </c>
      <c r="AK45" s="12">
        <v>0.93330000000000002</v>
      </c>
      <c r="AL45" s="12">
        <v>5.0000000000000001E-3</v>
      </c>
      <c r="AM45" s="12">
        <v>8.69</v>
      </c>
      <c r="AN45" s="13">
        <v>76.8</v>
      </c>
      <c r="AR45" s="33" t="s">
        <v>429</v>
      </c>
      <c r="AS45" s="33">
        <v>0.91300000000000003</v>
      </c>
      <c r="AT45" s="33">
        <v>0.15049999999999999</v>
      </c>
      <c r="AU45" s="36" t="b">
        <v>1</v>
      </c>
    </row>
    <row r="46" spans="5:47" ht="15" customHeight="1" x14ac:dyDescent="0.25">
      <c r="E46" s="174"/>
      <c r="F46" s="187" t="s">
        <v>3</v>
      </c>
      <c r="G46" s="47" t="s">
        <v>5</v>
      </c>
      <c r="H46" s="63">
        <v>0.8871</v>
      </c>
      <c r="I46" s="84">
        <v>4.7999999999999996E-3</v>
      </c>
      <c r="J46" s="3">
        <v>0.75409999999999999</v>
      </c>
      <c r="K46" s="3">
        <v>2.1899999999999999E-2</v>
      </c>
      <c r="L46" s="3">
        <v>0.48680000000000001</v>
      </c>
      <c r="M46" s="3">
        <v>2.2599999999999999E-2</v>
      </c>
      <c r="N46" s="3">
        <v>0.59140000000000004</v>
      </c>
      <c r="O46" s="3">
        <v>2.0400000000000001E-2</v>
      </c>
      <c r="P46" s="3">
        <v>0.91549999999999998</v>
      </c>
      <c r="Q46" s="3">
        <v>4.1000000000000003E-3</v>
      </c>
      <c r="R46" s="3">
        <v>27.08</v>
      </c>
      <c r="S46" s="64">
        <v>88.3</v>
      </c>
      <c r="Z46" s="207"/>
      <c r="AA46" s="153"/>
      <c r="AB46" s="14" t="s">
        <v>6</v>
      </c>
      <c r="AC46" s="69">
        <v>0.8659</v>
      </c>
      <c r="AD46" s="90">
        <v>1.8E-3</v>
      </c>
      <c r="AE46" s="14">
        <v>0.71740000000000004</v>
      </c>
      <c r="AF46" s="14">
        <v>0.02</v>
      </c>
      <c r="AG46" s="14">
        <v>0.33329999999999999</v>
      </c>
      <c r="AH46" s="14">
        <v>8.6999999999999994E-3</v>
      </c>
      <c r="AI46" s="14">
        <v>0.45500000000000002</v>
      </c>
      <c r="AJ46" s="14">
        <v>6.7000000000000002E-3</v>
      </c>
      <c r="AK46" s="14">
        <v>0.91090000000000004</v>
      </c>
      <c r="AL46" s="14">
        <v>5.1000000000000004E-3</v>
      </c>
      <c r="AM46" s="14">
        <v>139.9</v>
      </c>
      <c r="AN46" s="15">
        <v>187.4</v>
      </c>
      <c r="AR46" s="33" t="s">
        <v>431</v>
      </c>
      <c r="AS46" s="33">
        <v>0.75370999999999999</v>
      </c>
      <c r="AT46" s="33">
        <v>9.9350000000000003E-4</v>
      </c>
      <c r="AU46" s="36" t="b">
        <v>0</v>
      </c>
    </row>
    <row r="47" spans="5:47" x14ac:dyDescent="0.25">
      <c r="E47" s="174"/>
      <c r="F47" s="187"/>
      <c r="G47" s="48" t="s">
        <v>6</v>
      </c>
      <c r="H47" s="66">
        <v>0.90110000000000001</v>
      </c>
      <c r="I47" s="86">
        <v>2.5000000000000001E-3</v>
      </c>
      <c r="J47" s="1">
        <v>0.79039999999999999</v>
      </c>
      <c r="K47" s="1">
        <v>9.7000000000000003E-3</v>
      </c>
      <c r="L47" s="1">
        <v>0.5595</v>
      </c>
      <c r="M47" s="1">
        <v>1.21E-2</v>
      </c>
      <c r="N47" s="1">
        <v>0.65510000000000002</v>
      </c>
      <c r="O47" s="1">
        <v>1.03E-2</v>
      </c>
      <c r="P47" s="1">
        <v>0.9254</v>
      </c>
      <c r="Q47" s="1">
        <v>4.4000000000000003E-3</v>
      </c>
      <c r="R47" s="1">
        <v>156.94999999999999</v>
      </c>
      <c r="S47" s="41">
        <v>169.7</v>
      </c>
      <c r="Z47" s="207"/>
      <c r="AA47" s="153"/>
      <c r="AB47" s="14" t="s">
        <v>7</v>
      </c>
      <c r="AC47" s="69">
        <v>0.87919999999999998</v>
      </c>
      <c r="AD47" s="90">
        <v>4.5999999999999999E-3</v>
      </c>
      <c r="AE47" s="14">
        <v>0.70569999999999999</v>
      </c>
      <c r="AF47" s="14">
        <v>2.75E-2</v>
      </c>
      <c r="AG47" s="14">
        <v>0.48349999999999999</v>
      </c>
      <c r="AH47" s="14">
        <v>7.4999999999999997E-3</v>
      </c>
      <c r="AI47" s="14">
        <v>0.5736</v>
      </c>
      <c r="AJ47" s="14">
        <v>1.03E-2</v>
      </c>
      <c r="AK47" s="14">
        <v>0.91810000000000003</v>
      </c>
      <c r="AL47" s="14">
        <v>4.7000000000000002E-3</v>
      </c>
      <c r="AM47" s="14">
        <v>62.1</v>
      </c>
      <c r="AN47" s="15">
        <v>202.5</v>
      </c>
      <c r="AR47" s="33" t="s">
        <v>432</v>
      </c>
      <c r="AS47" s="33">
        <v>0.86106000000000005</v>
      </c>
      <c r="AT47" s="33">
        <v>2.5000000000000001E-2</v>
      </c>
      <c r="AU47" s="36" t="b">
        <v>0</v>
      </c>
    </row>
    <row r="48" spans="5:47" x14ac:dyDescent="0.25">
      <c r="E48" s="174"/>
      <c r="F48" s="187"/>
      <c r="G48" s="48" t="s">
        <v>7</v>
      </c>
      <c r="H48" s="66">
        <v>0.87029999999999996</v>
      </c>
      <c r="I48" s="86">
        <v>2.2000000000000001E-3</v>
      </c>
      <c r="J48" s="1">
        <v>0.80649999999999999</v>
      </c>
      <c r="K48" s="1">
        <v>2.0400000000000001E-2</v>
      </c>
      <c r="L48" s="1">
        <v>0.29970000000000002</v>
      </c>
      <c r="M48" s="1">
        <v>1.0800000000000001E-2</v>
      </c>
      <c r="N48" s="1">
        <v>0.43690000000000001</v>
      </c>
      <c r="O48" s="1">
        <v>1.2200000000000001E-2</v>
      </c>
      <c r="P48" s="1">
        <v>0.86680000000000001</v>
      </c>
      <c r="Q48" s="1">
        <v>6.7000000000000002E-3</v>
      </c>
      <c r="R48" s="1">
        <v>88.68</v>
      </c>
      <c r="S48" s="41">
        <v>146.69999999999999</v>
      </c>
      <c r="Z48" s="207"/>
      <c r="AA48" s="153"/>
      <c r="AB48" s="14" t="s">
        <v>18</v>
      </c>
      <c r="AC48" s="69">
        <v>0.74780000000000002</v>
      </c>
      <c r="AD48" s="90">
        <v>1.04E-2</v>
      </c>
      <c r="AE48" s="14">
        <v>0.36670000000000003</v>
      </c>
      <c r="AF48" s="14">
        <v>1.38E-2</v>
      </c>
      <c r="AG48" s="14">
        <v>0.68830000000000002</v>
      </c>
      <c r="AH48" s="14">
        <v>1.17E-2</v>
      </c>
      <c r="AI48" s="14">
        <v>0.47839999999999999</v>
      </c>
      <c r="AJ48" s="14">
        <v>1.43E-2</v>
      </c>
      <c r="AK48" s="14">
        <v>0.8024</v>
      </c>
      <c r="AL48" s="14">
        <v>1.01E-2</v>
      </c>
      <c r="AM48" s="14">
        <v>8.23</v>
      </c>
      <c r="AN48" s="15">
        <v>211.8</v>
      </c>
      <c r="AR48" s="33" t="s">
        <v>433</v>
      </c>
      <c r="AS48" s="33">
        <v>0.82072999999999996</v>
      </c>
      <c r="AT48" s="33">
        <v>6.8690000000000001E-3</v>
      </c>
      <c r="AU48" s="36" t="b">
        <v>0</v>
      </c>
    </row>
    <row r="49" spans="5:40" ht="15.75" thickBot="1" x14ac:dyDescent="0.3">
      <c r="E49" s="174"/>
      <c r="F49" s="187"/>
      <c r="G49" s="48" t="s">
        <v>18</v>
      </c>
      <c r="H49" s="66">
        <v>0.80500000000000005</v>
      </c>
      <c r="I49" s="86">
        <v>9.1000000000000004E-3</v>
      </c>
      <c r="J49" s="1">
        <v>0.43919999999999998</v>
      </c>
      <c r="K49" s="1">
        <v>2.0199999999999999E-2</v>
      </c>
      <c r="L49" s="1">
        <v>0.57840000000000003</v>
      </c>
      <c r="M49" s="1">
        <v>2.23E-2</v>
      </c>
      <c r="N49" s="1">
        <v>0.49919999999999998</v>
      </c>
      <c r="O49" s="1">
        <v>2.0400000000000001E-2</v>
      </c>
      <c r="P49" s="1">
        <v>0.81459999999999999</v>
      </c>
      <c r="Q49" s="1">
        <v>1.44E-2</v>
      </c>
      <c r="R49" s="1">
        <v>26.9</v>
      </c>
      <c r="S49" s="41">
        <v>139.9</v>
      </c>
      <c r="Z49" s="207"/>
      <c r="AA49" s="153"/>
      <c r="AB49" s="16" t="s">
        <v>9</v>
      </c>
      <c r="AC49" s="74">
        <v>0.88919999999999999</v>
      </c>
      <c r="AD49" s="91">
        <v>6.8999999999999999E-3</v>
      </c>
      <c r="AE49" s="16">
        <v>0.6552</v>
      </c>
      <c r="AF49" s="16">
        <v>3.5700000000000003E-2</v>
      </c>
      <c r="AG49" s="16">
        <v>0.73599999999999999</v>
      </c>
      <c r="AH49" s="16">
        <v>7.5600000000000001E-2</v>
      </c>
      <c r="AI49" s="16">
        <v>0.6895</v>
      </c>
      <c r="AJ49" s="16">
        <v>1.95E-2</v>
      </c>
      <c r="AK49" s="16">
        <v>0.94330000000000003</v>
      </c>
      <c r="AL49" s="16">
        <v>3.7000000000000002E-3</v>
      </c>
      <c r="AM49" s="16">
        <v>311.61</v>
      </c>
      <c r="AN49" s="17">
        <v>227.5</v>
      </c>
    </row>
    <row r="50" spans="5:40" ht="15.75" thickBot="1" x14ac:dyDescent="0.3">
      <c r="E50" s="174"/>
      <c r="F50" s="187"/>
      <c r="G50" s="49" t="s">
        <v>9</v>
      </c>
      <c r="H50" s="67">
        <v>0.88839999999999997</v>
      </c>
      <c r="I50" s="87">
        <v>4.1000000000000003E-3</v>
      </c>
      <c r="J50" s="4">
        <v>0.68369999999999997</v>
      </c>
      <c r="K50" s="4">
        <v>1.0999999999999999E-2</v>
      </c>
      <c r="L50" s="4">
        <v>0.62460000000000004</v>
      </c>
      <c r="M50" s="4">
        <v>2.1999999999999999E-2</v>
      </c>
      <c r="N50" s="4">
        <v>0.65269999999999995</v>
      </c>
      <c r="O50" s="4">
        <v>1.5699999999999999E-2</v>
      </c>
      <c r="P50" s="4">
        <v>0.89070000000000005</v>
      </c>
      <c r="Q50" s="4">
        <v>3.8999999999999998E-3</v>
      </c>
      <c r="R50" s="4">
        <v>140.72999999999999</v>
      </c>
      <c r="S50" s="68">
        <v>155.69999999999999</v>
      </c>
      <c r="Z50" s="207"/>
      <c r="AA50" s="158" t="s">
        <v>17</v>
      </c>
      <c r="AB50" s="18" t="s">
        <v>5</v>
      </c>
      <c r="AC50" s="76">
        <v>0.95309999999999995</v>
      </c>
      <c r="AD50" s="93">
        <v>8.3000000000000001E-3</v>
      </c>
      <c r="AE50" s="18">
        <v>0.90129999999999999</v>
      </c>
      <c r="AF50" s="18">
        <v>1.9300000000000001E-2</v>
      </c>
      <c r="AG50" s="18">
        <v>0.94159999999999999</v>
      </c>
      <c r="AH50" s="18">
        <v>9.4000000000000004E-3</v>
      </c>
      <c r="AI50" s="18">
        <v>0.92100000000000004</v>
      </c>
      <c r="AJ50" s="18">
        <v>1.34E-2</v>
      </c>
      <c r="AK50" s="18">
        <v>0.98939999999999995</v>
      </c>
      <c r="AL50" s="18">
        <v>2.5000000000000001E-3</v>
      </c>
      <c r="AM50" s="18">
        <v>17.010000000000002</v>
      </c>
      <c r="AN50" s="19">
        <v>95.9</v>
      </c>
    </row>
    <row r="51" spans="5:40" x14ac:dyDescent="0.25">
      <c r="E51" s="174"/>
      <c r="F51" s="189" t="s">
        <v>4</v>
      </c>
      <c r="G51" s="51" t="s">
        <v>5</v>
      </c>
      <c r="H51" s="75">
        <v>0.90459999999999996</v>
      </c>
      <c r="I51" s="92">
        <v>2.8999999999999998E-3</v>
      </c>
      <c r="J51" s="12">
        <v>0.75190000000000001</v>
      </c>
      <c r="K51" s="12">
        <v>1.46E-2</v>
      </c>
      <c r="L51" s="12">
        <v>0.64500000000000002</v>
      </c>
      <c r="M51" s="12">
        <v>1.2800000000000001E-2</v>
      </c>
      <c r="N51" s="12">
        <v>0.69420000000000004</v>
      </c>
      <c r="O51" s="12">
        <v>8.6E-3</v>
      </c>
      <c r="P51" s="12">
        <v>0.93869999999999998</v>
      </c>
      <c r="Q51" s="12">
        <v>3.3E-3</v>
      </c>
      <c r="R51" s="12">
        <v>28.72</v>
      </c>
      <c r="S51" s="13">
        <v>60.9</v>
      </c>
      <c r="Z51" s="207"/>
      <c r="AA51" s="158"/>
      <c r="AB51" s="20" t="s">
        <v>6</v>
      </c>
      <c r="AC51" s="65">
        <v>0.9516</v>
      </c>
      <c r="AD51" s="85">
        <v>7.4999999999999997E-3</v>
      </c>
      <c r="AE51" s="20">
        <v>0.88590000000000002</v>
      </c>
      <c r="AF51" s="20">
        <v>1.5900000000000001E-2</v>
      </c>
      <c r="AG51" s="20">
        <v>0.95660000000000001</v>
      </c>
      <c r="AH51" s="20">
        <v>8.0999999999999996E-3</v>
      </c>
      <c r="AI51" s="20">
        <v>0.91990000000000005</v>
      </c>
      <c r="AJ51" s="20">
        <v>1.1900000000000001E-2</v>
      </c>
      <c r="AK51" s="20">
        <v>0.99080000000000001</v>
      </c>
      <c r="AL51" s="20">
        <v>1.6999999999999999E-3</v>
      </c>
      <c r="AM51" s="20">
        <v>19.149999999999999</v>
      </c>
      <c r="AN51" s="21">
        <v>104.3</v>
      </c>
    </row>
    <row r="52" spans="5:40" ht="15.75" customHeight="1" x14ac:dyDescent="0.25">
      <c r="E52" s="174"/>
      <c r="F52" s="190"/>
      <c r="G52" s="52" t="s">
        <v>6</v>
      </c>
      <c r="H52" s="69">
        <v>0.90259999999999996</v>
      </c>
      <c r="I52" s="90">
        <v>3.8999999999999998E-3</v>
      </c>
      <c r="J52" s="14">
        <v>0.81040000000000001</v>
      </c>
      <c r="K52" s="14">
        <v>1.9400000000000001E-2</v>
      </c>
      <c r="L52" s="14">
        <v>0.54830000000000001</v>
      </c>
      <c r="M52" s="14">
        <v>1.6E-2</v>
      </c>
      <c r="N52" s="14">
        <v>0.65400000000000003</v>
      </c>
      <c r="O52" s="14">
        <v>1.47E-2</v>
      </c>
      <c r="P52" s="14">
        <v>0.93589999999999995</v>
      </c>
      <c r="Q52" s="14">
        <v>3.3E-3</v>
      </c>
      <c r="R52" s="14">
        <v>837.18</v>
      </c>
      <c r="S52" s="15">
        <v>48</v>
      </c>
      <c r="Z52" s="207"/>
      <c r="AA52" s="158"/>
      <c r="AB52" s="20" t="s">
        <v>7</v>
      </c>
      <c r="AC52" s="65">
        <v>0.96809999999999996</v>
      </c>
      <c r="AD52" s="85">
        <v>5.0000000000000001E-3</v>
      </c>
      <c r="AE52" s="20">
        <v>0.93389999999999995</v>
      </c>
      <c r="AF52" s="20">
        <v>1.84E-2</v>
      </c>
      <c r="AG52" s="20">
        <v>0.95830000000000004</v>
      </c>
      <c r="AH52" s="20">
        <v>8.3000000000000001E-3</v>
      </c>
      <c r="AI52" s="20">
        <v>0.94579999999999997</v>
      </c>
      <c r="AJ52" s="20">
        <v>7.9000000000000008E-3</v>
      </c>
      <c r="AK52" s="20">
        <v>0.99409999999999998</v>
      </c>
      <c r="AL52" s="20">
        <v>8.9999999999999998E-4</v>
      </c>
      <c r="AM52" s="20">
        <v>24.87</v>
      </c>
      <c r="AN52" s="21">
        <v>118.9</v>
      </c>
    </row>
    <row r="53" spans="5:40" x14ac:dyDescent="0.25">
      <c r="E53" s="174"/>
      <c r="F53" s="190"/>
      <c r="G53" s="52" t="s">
        <v>7</v>
      </c>
      <c r="H53" s="69">
        <v>0.86750000000000005</v>
      </c>
      <c r="I53" s="90">
        <v>4.1999999999999997E-3</v>
      </c>
      <c r="J53" s="14">
        <v>0.85389999999999999</v>
      </c>
      <c r="K53" s="14">
        <v>2.8000000000000001E-2</v>
      </c>
      <c r="L53" s="14">
        <v>0.255</v>
      </c>
      <c r="M53" s="14">
        <v>2.2599999999999999E-2</v>
      </c>
      <c r="N53" s="14">
        <v>0.39219999999999999</v>
      </c>
      <c r="O53" s="14">
        <v>2.8799999999999999E-2</v>
      </c>
      <c r="P53" s="14">
        <v>0.88539999999999996</v>
      </c>
      <c r="Q53" s="14">
        <v>8.0999999999999996E-3</v>
      </c>
      <c r="R53" s="14">
        <v>296.98</v>
      </c>
      <c r="S53" s="15">
        <v>26.4</v>
      </c>
      <c r="Z53" s="207"/>
      <c r="AA53" s="158"/>
      <c r="AB53" s="20" t="s">
        <v>18</v>
      </c>
      <c r="AC53" s="65">
        <v>0.87229999999999996</v>
      </c>
      <c r="AD53" s="85">
        <v>6.4999999999999997E-3</v>
      </c>
      <c r="AE53" s="20">
        <v>0.70150000000000001</v>
      </c>
      <c r="AF53" s="20">
        <v>1.18E-2</v>
      </c>
      <c r="AG53" s="20">
        <v>0.97499999999999998</v>
      </c>
      <c r="AH53" s="20">
        <v>3.7000000000000002E-3</v>
      </c>
      <c r="AI53" s="20">
        <v>0.81579999999999997</v>
      </c>
      <c r="AJ53" s="20">
        <v>7.4999999999999997E-3</v>
      </c>
      <c r="AK53" s="20">
        <v>0.95230000000000004</v>
      </c>
      <c r="AL53" s="20">
        <v>2.3999999999999998E-3</v>
      </c>
      <c r="AM53" s="20">
        <v>16.93</v>
      </c>
      <c r="AN53" s="21">
        <v>136.6</v>
      </c>
    </row>
    <row r="54" spans="5:40" ht="15.75" thickBot="1" x14ac:dyDescent="0.3">
      <c r="E54" s="174"/>
      <c r="F54" s="190"/>
      <c r="G54" s="52" t="s">
        <v>8</v>
      </c>
      <c r="H54" s="69">
        <v>0.78659999999999997</v>
      </c>
      <c r="I54" s="90">
        <v>6.3E-3</v>
      </c>
      <c r="J54" s="14">
        <v>0.42309999999999998</v>
      </c>
      <c r="K54" s="14">
        <v>1.03E-2</v>
      </c>
      <c r="L54" s="14">
        <v>0.74380000000000002</v>
      </c>
      <c r="M54" s="14">
        <v>2.1700000000000001E-2</v>
      </c>
      <c r="N54" s="14">
        <v>0.5393</v>
      </c>
      <c r="O54" s="14">
        <v>1.2800000000000001E-2</v>
      </c>
      <c r="P54" s="14">
        <v>0.84619999999999995</v>
      </c>
      <c r="Q54" s="14">
        <v>9.4000000000000004E-3</v>
      </c>
      <c r="R54" s="14">
        <v>24.86</v>
      </c>
      <c r="S54" s="15">
        <v>0</v>
      </c>
      <c r="Z54" s="207"/>
      <c r="AA54" s="158"/>
      <c r="AB54" s="22" t="s">
        <v>9</v>
      </c>
      <c r="AC54" s="70">
        <v>0.96830000000000005</v>
      </c>
      <c r="AD54" s="94">
        <v>7.7000000000000002E-3</v>
      </c>
      <c r="AE54" s="22">
        <v>0.95399999999999996</v>
      </c>
      <c r="AF54" s="22">
        <v>2.2599999999999999E-2</v>
      </c>
      <c r="AG54" s="22">
        <v>0.93659999999999999</v>
      </c>
      <c r="AH54" s="22">
        <v>2.24E-2</v>
      </c>
      <c r="AI54" s="22">
        <v>0.94489999999999996</v>
      </c>
      <c r="AJ54" s="22">
        <v>1.34E-2</v>
      </c>
      <c r="AK54" s="22">
        <v>0.99450000000000005</v>
      </c>
      <c r="AL54" s="22">
        <v>2.5999999999999999E-3</v>
      </c>
      <c r="AM54" s="22">
        <v>59.1</v>
      </c>
      <c r="AN54" s="23">
        <v>148.19999999999999</v>
      </c>
    </row>
    <row r="55" spans="5:40" ht="15.75" thickBot="1" x14ac:dyDescent="0.3">
      <c r="E55" s="175"/>
      <c r="F55" s="191"/>
      <c r="G55" s="53" t="s">
        <v>9</v>
      </c>
      <c r="H55" s="74">
        <v>0.89990000000000003</v>
      </c>
      <c r="I55" s="91">
        <v>5.5999999999999999E-3</v>
      </c>
      <c r="J55" s="16">
        <v>0.72370000000000001</v>
      </c>
      <c r="K55" s="16">
        <v>3.4700000000000002E-2</v>
      </c>
      <c r="L55" s="16">
        <v>0.65920000000000001</v>
      </c>
      <c r="M55" s="16">
        <v>3.5200000000000002E-2</v>
      </c>
      <c r="N55" s="16">
        <v>0.68840000000000001</v>
      </c>
      <c r="O55" s="16">
        <v>1.55E-2</v>
      </c>
      <c r="P55" s="16">
        <v>0.93049999999999999</v>
      </c>
      <c r="Q55" s="16">
        <v>4.0000000000000001E-3</v>
      </c>
      <c r="R55" s="16">
        <v>330.41</v>
      </c>
      <c r="S55" s="17">
        <v>13.5</v>
      </c>
      <c r="AB55" s="25"/>
      <c r="AC55">
        <f>AVERAGE(AC40:AC54)</f>
        <v>0.88165333333333318</v>
      </c>
      <c r="AD55">
        <f t="shared" ref="AD55:AN55" si="2">AVERAGE(AD40:AD54)</f>
        <v>4.9733333333333331E-3</v>
      </c>
      <c r="AE55">
        <f t="shared" si="2"/>
        <v>0.75231333333333328</v>
      </c>
      <c r="AF55">
        <f t="shared" si="2"/>
        <v>1.572666666666667E-2</v>
      </c>
      <c r="AG55">
        <f t="shared" si="2"/>
        <v>0.77199333333333331</v>
      </c>
      <c r="AH55">
        <f t="shared" si="2"/>
        <v>1.3933333333333334E-2</v>
      </c>
      <c r="AI55">
        <f t="shared" si="2"/>
        <v>0.7432333333333333</v>
      </c>
      <c r="AJ55">
        <f t="shared" si="2"/>
        <v>9.3333333333333324E-3</v>
      </c>
      <c r="AK55">
        <f t="shared" si="2"/>
        <v>0.93400666666666665</v>
      </c>
      <c r="AL55">
        <f t="shared" si="2"/>
        <v>3.4466666666666665E-3</v>
      </c>
      <c r="AM55">
        <f t="shared" si="2"/>
        <v>130.31133333333335</v>
      </c>
      <c r="AN55">
        <f t="shared" si="2"/>
        <v>214.52</v>
      </c>
    </row>
    <row r="56" spans="5:40" ht="15.75" thickBot="1" x14ac:dyDescent="0.3">
      <c r="E56" s="1"/>
      <c r="F56" s="5"/>
      <c r="G56" s="50"/>
      <c r="H56" s="71"/>
      <c r="I56" s="88"/>
      <c r="J56" s="5"/>
      <c r="K56" s="5"/>
      <c r="L56" s="5"/>
      <c r="M56" s="5"/>
      <c r="N56" s="5"/>
      <c r="O56" s="5"/>
      <c r="P56" s="5"/>
      <c r="Q56" s="5"/>
      <c r="R56" s="5"/>
      <c r="S56" s="72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40" ht="15" customHeight="1" x14ac:dyDescent="0.25">
      <c r="E57" s="176" t="s">
        <v>17</v>
      </c>
      <c r="F57" s="188" t="s">
        <v>0</v>
      </c>
      <c r="G57" s="54" t="s">
        <v>5</v>
      </c>
      <c r="H57" s="76">
        <v>0.97460000000000002</v>
      </c>
      <c r="I57" s="93">
        <v>4.1000000000000003E-3</v>
      </c>
      <c r="J57" s="18">
        <v>0.94159999999999999</v>
      </c>
      <c r="K57" s="18">
        <v>1.7999999999999999E-2</v>
      </c>
      <c r="L57" s="18">
        <v>0.97330000000000005</v>
      </c>
      <c r="M57" s="18">
        <v>1.0999999999999999E-2</v>
      </c>
      <c r="N57" s="18">
        <v>0.95699999999999996</v>
      </c>
      <c r="O57" s="18">
        <v>6.6E-3</v>
      </c>
      <c r="P57" s="77">
        <v>0.99299999999999999</v>
      </c>
      <c r="Q57" s="77">
        <v>2.5000000000000001E-3</v>
      </c>
      <c r="R57" s="77">
        <v>2.74</v>
      </c>
      <c r="S57" s="19">
        <v>31.4</v>
      </c>
      <c r="Z57" s="149" t="s">
        <v>3</v>
      </c>
      <c r="AA57" s="152" t="s">
        <v>20</v>
      </c>
      <c r="AB57" s="6" t="s">
        <v>5</v>
      </c>
      <c r="AC57" s="6">
        <v>0.84009999999999996</v>
      </c>
      <c r="AD57" s="6">
        <v>3.3999999999999998E-3</v>
      </c>
      <c r="AE57" s="6">
        <v>0.78480000000000005</v>
      </c>
      <c r="AF57" s="6">
        <v>1.2999999999999999E-2</v>
      </c>
      <c r="AG57" s="6">
        <v>0.50280000000000002</v>
      </c>
      <c r="AH57" s="6">
        <v>6.4000000000000003E-3</v>
      </c>
      <c r="AI57" s="6">
        <v>0.6129</v>
      </c>
      <c r="AJ57" s="6">
        <v>7.6E-3</v>
      </c>
      <c r="AK57" s="6">
        <v>0.87890000000000001</v>
      </c>
      <c r="AL57" s="6">
        <v>7.0000000000000001E-3</v>
      </c>
      <c r="AM57" s="6">
        <v>68.709999999999994</v>
      </c>
      <c r="AN57" s="7">
        <v>228.6</v>
      </c>
    </row>
    <row r="58" spans="5:40" x14ac:dyDescent="0.25">
      <c r="E58" s="177"/>
      <c r="F58" s="180"/>
      <c r="G58" s="55" t="s">
        <v>6</v>
      </c>
      <c r="H58" s="65">
        <v>0.9587</v>
      </c>
      <c r="I58" s="85">
        <v>6.4000000000000003E-3</v>
      </c>
      <c r="J58" s="20">
        <v>0.90400000000000003</v>
      </c>
      <c r="K58" s="20">
        <v>2.07E-2</v>
      </c>
      <c r="L58" s="20">
        <v>0.96</v>
      </c>
      <c r="M58" s="20">
        <v>4.1999999999999997E-3</v>
      </c>
      <c r="N58" s="20">
        <v>0.93100000000000005</v>
      </c>
      <c r="O58" s="20">
        <v>9.7000000000000003E-3</v>
      </c>
      <c r="P58" s="20">
        <v>0.99060000000000004</v>
      </c>
      <c r="Q58" s="20">
        <v>2.2000000000000001E-3</v>
      </c>
      <c r="R58" s="20">
        <v>71.709999999999994</v>
      </c>
      <c r="S58" s="21">
        <v>24.3</v>
      </c>
      <c r="Z58" s="150"/>
      <c r="AA58" s="153"/>
      <c r="AB58" s="8" t="s">
        <v>6</v>
      </c>
      <c r="AC58" s="8">
        <v>0.8589</v>
      </c>
      <c r="AD58" s="8">
        <v>3.3999999999999998E-3</v>
      </c>
      <c r="AE58" s="8">
        <v>0.81899999999999995</v>
      </c>
      <c r="AF58" s="8">
        <v>7.6E-3</v>
      </c>
      <c r="AG58" s="8">
        <v>0.56440000000000001</v>
      </c>
      <c r="AH58" s="8">
        <v>9.9000000000000008E-3</v>
      </c>
      <c r="AI58" s="8">
        <v>0.66830000000000001</v>
      </c>
      <c r="AJ58" s="8">
        <v>9.1999999999999998E-3</v>
      </c>
      <c r="AK58" s="8">
        <v>0.89300000000000002</v>
      </c>
      <c r="AL58" s="8">
        <v>3.3999999999999998E-3</v>
      </c>
      <c r="AM58" s="8">
        <v>1773.81</v>
      </c>
      <c r="AN58" s="9">
        <v>261.89999999999998</v>
      </c>
    </row>
    <row r="59" spans="5:40" x14ac:dyDescent="0.25">
      <c r="E59" s="177"/>
      <c r="F59" s="180"/>
      <c r="G59" s="55" t="s">
        <v>7</v>
      </c>
      <c r="H59" s="65">
        <v>0.96879999999999999</v>
      </c>
      <c r="I59" s="85">
        <v>2.8E-3</v>
      </c>
      <c r="J59" s="20">
        <v>0.9536</v>
      </c>
      <c r="K59" s="20">
        <v>1.0999999999999999E-2</v>
      </c>
      <c r="L59" s="20">
        <v>0.93830000000000002</v>
      </c>
      <c r="M59" s="20">
        <v>5.5999999999999999E-3</v>
      </c>
      <c r="N59" s="20">
        <v>0.94579999999999997</v>
      </c>
      <c r="O59" s="20">
        <v>4.5999999999999999E-3</v>
      </c>
      <c r="P59" s="20">
        <v>0.99370000000000003</v>
      </c>
      <c r="Q59" s="20">
        <v>1.5E-3</v>
      </c>
      <c r="R59" s="20">
        <v>3.07</v>
      </c>
      <c r="S59" s="21">
        <v>26.5</v>
      </c>
      <c r="Z59" s="150"/>
      <c r="AA59" s="153"/>
      <c r="AB59" s="8" t="s">
        <v>7</v>
      </c>
      <c r="AC59" s="8">
        <v>0.82310000000000005</v>
      </c>
      <c r="AD59" s="8">
        <v>2.5999999999999999E-3</v>
      </c>
      <c r="AE59" s="8">
        <v>0.85780000000000001</v>
      </c>
      <c r="AF59" s="8">
        <v>9.4999999999999998E-3</v>
      </c>
      <c r="AG59" s="8">
        <v>0.35659999999999997</v>
      </c>
      <c r="AH59" s="8">
        <v>7.0000000000000001E-3</v>
      </c>
      <c r="AI59" s="8">
        <v>0.50380000000000003</v>
      </c>
      <c r="AJ59" s="8">
        <v>8.5000000000000006E-3</v>
      </c>
      <c r="AK59" s="8">
        <v>0.87809999999999999</v>
      </c>
      <c r="AL59" s="8">
        <v>2.5000000000000001E-3</v>
      </c>
      <c r="AM59" s="8">
        <v>216.34</v>
      </c>
      <c r="AN59" s="9">
        <v>335.1</v>
      </c>
    </row>
    <row r="60" spans="5:40" x14ac:dyDescent="0.25">
      <c r="E60" s="177"/>
      <c r="F60" s="180"/>
      <c r="G60" s="55" t="s">
        <v>8</v>
      </c>
      <c r="H60" s="65">
        <v>0.97529999999999994</v>
      </c>
      <c r="I60" s="85">
        <v>3.5999999999999999E-3</v>
      </c>
      <c r="J60" s="20">
        <v>0.96609999999999996</v>
      </c>
      <c r="K60" s="20">
        <v>8.9999999999999993E-3</v>
      </c>
      <c r="L60" s="20">
        <v>0.94830000000000003</v>
      </c>
      <c r="M60" s="20">
        <v>8.5000000000000006E-3</v>
      </c>
      <c r="N60" s="20">
        <v>0.95709999999999995</v>
      </c>
      <c r="O60" s="20">
        <v>6.1999999999999998E-3</v>
      </c>
      <c r="P60" s="20">
        <v>0.99429999999999996</v>
      </c>
      <c r="Q60" s="20">
        <v>8.9999999999999998E-4</v>
      </c>
      <c r="R60" s="20">
        <v>1.62</v>
      </c>
      <c r="S60" s="21">
        <v>13.3</v>
      </c>
      <c r="Z60" s="150"/>
      <c r="AA60" s="153"/>
      <c r="AB60" s="8" t="s">
        <v>18</v>
      </c>
      <c r="AC60" s="8">
        <v>0.70530000000000004</v>
      </c>
      <c r="AD60" s="8">
        <v>3.5999999999999999E-3</v>
      </c>
      <c r="AE60" s="8">
        <v>0.40360000000000001</v>
      </c>
      <c r="AF60" s="8">
        <v>8.5000000000000006E-3</v>
      </c>
      <c r="AG60" s="8">
        <v>0.35730000000000001</v>
      </c>
      <c r="AH60" s="8">
        <v>1.01E-2</v>
      </c>
      <c r="AI60" s="8">
        <v>0.379</v>
      </c>
      <c r="AJ60" s="8">
        <v>9.2999999999999992E-3</v>
      </c>
      <c r="AK60" s="8">
        <v>0.71009999999999995</v>
      </c>
      <c r="AL60" s="8">
        <v>3.3E-3</v>
      </c>
      <c r="AM60" s="8">
        <v>68.47</v>
      </c>
      <c r="AN60" s="9">
        <v>350.6</v>
      </c>
    </row>
    <row r="61" spans="5:40" ht="15.75" thickBot="1" x14ac:dyDescent="0.3">
      <c r="E61" s="177"/>
      <c r="F61" s="181"/>
      <c r="G61" s="56" t="s">
        <v>9</v>
      </c>
      <c r="H61" s="70">
        <v>0.97629999999999995</v>
      </c>
      <c r="I61" s="94">
        <v>4.5999999999999999E-3</v>
      </c>
      <c r="J61" s="22">
        <v>0.95950000000000002</v>
      </c>
      <c r="K61" s="22">
        <v>1.5800000000000002E-2</v>
      </c>
      <c r="L61" s="22">
        <v>0.95909999999999995</v>
      </c>
      <c r="M61" s="22">
        <v>1.4E-2</v>
      </c>
      <c r="N61" s="22">
        <v>0.95909999999999995</v>
      </c>
      <c r="O61" s="22">
        <v>7.9000000000000008E-3</v>
      </c>
      <c r="P61" s="22">
        <v>0.9919</v>
      </c>
      <c r="Q61" s="22">
        <v>3.8E-3</v>
      </c>
      <c r="R61" s="22">
        <v>632.36</v>
      </c>
      <c r="S61" s="23">
        <v>262.8</v>
      </c>
      <c r="Z61" s="150"/>
      <c r="AA61" s="153"/>
      <c r="AB61" s="8" t="s">
        <v>9</v>
      </c>
      <c r="AC61" s="8">
        <v>0.86429999999999996</v>
      </c>
      <c r="AD61" s="8">
        <v>3.5000000000000001E-3</v>
      </c>
      <c r="AE61" s="8">
        <v>0.74119999999999997</v>
      </c>
      <c r="AF61" s="8">
        <v>1.26E-2</v>
      </c>
      <c r="AG61" s="8">
        <v>0.70920000000000005</v>
      </c>
      <c r="AH61" s="8">
        <v>1.7899999999999999E-2</v>
      </c>
      <c r="AI61" s="8">
        <v>0.72460000000000002</v>
      </c>
      <c r="AJ61" s="8">
        <v>7.9000000000000008E-3</v>
      </c>
      <c r="AK61" s="8">
        <v>0.86919999999999997</v>
      </c>
      <c r="AL61" s="8">
        <v>7.4000000000000003E-3</v>
      </c>
      <c r="AM61" s="8">
        <v>221.06</v>
      </c>
      <c r="AN61" s="9">
        <v>376.2</v>
      </c>
    </row>
    <row r="62" spans="5:40" x14ac:dyDescent="0.25">
      <c r="E62" s="177"/>
      <c r="F62" s="182" t="s">
        <v>1</v>
      </c>
      <c r="G62" s="47" t="s">
        <v>5</v>
      </c>
      <c r="H62" s="63">
        <v>0.97850000000000004</v>
      </c>
      <c r="I62" s="84">
        <v>6.6E-3</v>
      </c>
      <c r="J62" s="3">
        <v>0.95660000000000001</v>
      </c>
      <c r="K62" s="3">
        <v>1.4800000000000001E-2</v>
      </c>
      <c r="L62" s="3">
        <v>0.97</v>
      </c>
      <c r="M62" s="3">
        <v>1.4E-2</v>
      </c>
      <c r="N62" s="3">
        <v>0.96319999999999995</v>
      </c>
      <c r="O62" s="3">
        <v>1.12E-2</v>
      </c>
      <c r="P62" s="3">
        <v>0.997</v>
      </c>
      <c r="Q62" s="3">
        <v>8.9999999999999998E-4</v>
      </c>
      <c r="R62" s="3">
        <v>2.17</v>
      </c>
      <c r="S62" s="64">
        <v>32.9</v>
      </c>
      <c r="Z62" s="150"/>
      <c r="AA62" s="153" t="s">
        <v>21</v>
      </c>
      <c r="AB62" s="14" t="s">
        <v>5</v>
      </c>
      <c r="AC62" s="14">
        <v>0.8871</v>
      </c>
      <c r="AD62" s="14">
        <v>4.7999999999999996E-3</v>
      </c>
      <c r="AE62" s="14">
        <v>0.75409999999999999</v>
      </c>
      <c r="AF62" s="14">
        <v>2.1899999999999999E-2</v>
      </c>
      <c r="AG62" s="14">
        <v>0.48680000000000001</v>
      </c>
      <c r="AH62" s="14">
        <v>2.2599999999999999E-2</v>
      </c>
      <c r="AI62" s="14">
        <v>0.59140000000000004</v>
      </c>
      <c r="AJ62" s="14">
        <v>2.0400000000000001E-2</v>
      </c>
      <c r="AK62" s="14">
        <v>0.91549999999999998</v>
      </c>
      <c r="AL62" s="14">
        <v>4.1000000000000003E-3</v>
      </c>
      <c r="AM62" s="14">
        <v>27.08</v>
      </c>
      <c r="AN62" s="15">
        <v>88.3</v>
      </c>
    </row>
    <row r="63" spans="5:40" x14ac:dyDescent="0.25">
      <c r="E63" s="177"/>
      <c r="F63" s="158"/>
      <c r="G63" s="48" t="s">
        <v>6</v>
      </c>
      <c r="H63" s="66">
        <v>0.98260000000000003</v>
      </c>
      <c r="I63" s="86">
        <v>6.4000000000000003E-3</v>
      </c>
      <c r="J63" s="1">
        <v>0.95430000000000004</v>
      </c>
      <c r="K63" s="1">
        <v>1.6400000000000001E-2</v>
      </c>
      <c r="L63" s="1">
        <v>0.98750000000000004</v>
      </c>
      <c r="M63" s="1">
        <v>6.4999999999999997E-3</v>
      </c>
      <c r="N63" s="1">
        <v>0.97060000000000002</v>
      </c>
      <c r="O63" s="1">
        <v>1.0699999999999999E-2</v>
      </c>
      <c r="P63" s="1">
        <v>0.99829999999999997</v>
      </c>
      <c r="Q63" s="1">
        <v>5.0000000000000001E-4</v>
      </c>
      <c r="R63" s="1">
        <v>135.32</v>
      </c>
      <c r="S63" s="41">
        <v>27.1</v>
      </c>
      <c r="Z63" s="150"/>
      <c r="AA63" s="153"/>
      <c r="AB63" s="14" t="s">
        <v>6</v>
      </c>
      <c r="AC63" s="14">
        <v>0.90110000000000001</v>
      </c>
      <c r="AD63" s="14">
        <v>2.5000000000000001E-3</v>
      </c>
      <c r="AE63" s="14">
        <v>0.79039999999999999</v>
      </c>
      <c r="AF63" s="14">
        <v>9.7000000000000003E-3</v>
      </c>
      <c r="AG63" s="14">
        <v>0.5595</v>
      </c>
      <c r="AH63" s="14">
        <v>1.21E-2</v>
      </c>
      <c r="AI63" s="14">
        <v>0.65510000000000002</v>
      </c>
      <c r="AJ63" s="14">
        <v>1.03E-2</v>
      </c>
      <c r="AK63" s="14">
        <v>0.9254</v>
      </c>
      <c r="AL63" s="14">
        <v>4.4000000000000003E-3</v>
      </c>
      <c r="AM63" s="14">
        <v>156.94999999999999</v>
      </c>
      <c r="AN63" s="15">
        <v>169.7</v>
      </c>
    </row>
    <row r="64" spans="5:40" x14ac:dyDescent="0.25">
      <c r="E64" s="177"/>
      <c r="F64" s="158"/>
      <c r="G64" s="48" t="s">
        <v>7</v>
      </c>
      <c r="H64" s="66">
        <v>0.9698</v>
      </c>
      <c r="I64" s="86">
        <v>5.1000000000000004E-3</v>
      </c>
      <c r="J64" s="1">
        <v>0.95669999999999999</v>
      </c>
      <c r="K64" s="1">
        <v>1.23E-2</v>
      </c>
      <c r="L64" s="1">
        <v>0.93830000000000002</v>
      </c>
      <c r="M64" s="1">
        <v>8.8999999999999999E-3</v>
      </c>
      <c r="N64" s="1">
        <v>0.94740000000000002</v>
      </c>
      <c r="O64" s="1">
        <v>8.8000000000000005E-3</v>
      </c>
      <c r="P64" s="1">
        <v>0.99590000000000001</v>
      </c>
      <c r="Q64" s="1">
        <v>1.1000000000000001E-3</v>
      </c>
      <c r="R64" s="1">
        <v>5.01</v>
      </c>
      <c r="S64" s="41">
        <v>22.9</v>
      </c>
      <c r="Z64" s="150"/>
      <c r="AA64" s="153"/>
      <c r="AB64" s="14" t="s">
        <v>7</v>
      </c>
      <c r="AC64" s="14">
        <v>0.87029999999999996</v>
      </c>
      <c r="AD64" s="14">
        <v>2.2000000000000001E-3</v>
      </c>
      <c r="AE64" s="14">
        <v>0.80649999999999999</v>
      </c>
      <c r="AF64" s="14">
        <v>2.0400000000000001E-2</v>
      </c>
      <c r="AG64" s="14">
        <v>0.29970000000000002</v>
      </c>
      <c r="AH64" s="14">
        <v>1.0800000000000001E-2</v>
      </c>
      <c r="AI64" s="14">
        <v>0.43690000000000001</v>
      </c>
      <c r="AJ64" s="14">
        <v>1.2200000000000001E-2</v>
      </c>
      <c r="AK64" s="14">
        <v>0.86680000000000001</v>
      </c>
      <c r="AL64" s="14">
        <v>6.7000000000000002E-3</v>
      </c>
      <c r="AM64" s="14">
        <v>88.68</v>
      </c>
      <c r="AN64" s="15">
        <v>146.69999999999999</v>
      </c>
    </row>
    <row r="65" spans="5:40" x14ac:dyDescent="0.25">
      <c r="E65" s="177"/>
      <c r="F65" s="158"/>
      <c r="G65" s="48" t="s">
        <v>8</v>
      </c>
      <c r="H65" s="66">
        <v>0.8639</v>
      </c>
      <c r="I65" s="86">
        <v>9.9000000000000008E-3</v>
      </c>
      <c r="J65" s="1">
        <v>0.99850000000000005</v>
      </c>
      <c r="K65" s="1">
        <v>2.8999999999999998E-3</v>
      </c>
      <c r="L65" s="1">
        <v>0.53129999999999999</v>
      </c>
      <c r="M65" s="1">
        <v>3.5400000000000001E-2</v>
      </c>
      <c r="N65" s="1">
        <v>0.69279999999999997</v>
      </c>
      <c r="O65" s="1">
        <v>2.9700000000000001E-2</v>
      </c>
      <c r="P65" s="1">
        <v>0.99639999999999995</v>
      </c>
      <c r="Q65" s="1">
        <v>1.5E-3</v>
      </c>
      <c r="R65" s="1">
        <v>2.75</v>
      </c>
      <c r="S65" s="41">
        <v>15.2</v>
      </c>
      <c r="Z65" s="150"/>
      <c r="AA65" s="153"/>
      <c r="AB65" s="14" t="s">
        <v>18</v>
      </c>
      <c r="AC65" s="14">
        <v>0.80500000000000005</v>
      </c>
      <c r="AD65" s="14">
        <v>9.1000000000000004E-3</v>
      </c>
      <c r="AE65" s="14">
        <v>0.43919999999999998</v>
      </c>
      <c r="AF65" s="14">
        <v>2.0199999999999999E-2</v>
      </c>
      <c r="AG65" s="14">
        <v>0.57840000000000003</v>
      </c>
      <c r="AH65" s="14">
        <v>2.23E-2</v>
      </c>
      <c r="AI65" s="14">
        <v>0.49919999999999998</v>
      </c>
      <c r="AJ65" s="14">
        <v>2.0400000000000001E-2</v>
      </c>
      <c r="AK65" s="14">
        <v>0.81459999999999999</v>
      </c>
      <c r="AL65" s="14">
        <v>1.44E-2</v>
      </c>
      <c r="AM65" s="14">
        <v>26.9</v>
      </c>
      <c r="AN65" s="15">
        <v>139.9</v>
      </c>
    </row>
    <row r="66" spans="5:40" ht="15.75" thickBot="1" x14ac:dyDescent="0.3">
      <c r="E66" s="177"/>
      <c r="F66" s="183"/>
      <c r="G66" s="49" t="s">
        <v>9</v>
      </c>
      <c r="H66" s="79">
        <v>0.98599999999999999</v>
      </c>
      <c r="I66" s="95">
        <v>3.5999999999999999E-3</v>
      </c>
      <c r="J66" s="4">
        <v>0.97589999999999999</v>
      </c>
      <c r="K66" s="4">
        <v>7.9000000000000008E-3</v>
      </c>
      <c r="L66" s="4">
        <v>0.9758</v>
      </c>
      <c r="M66" s="4">
        <v>1.1299999999999999E-2</v>
      </c>
      <c r="N66" s="4">
        <v>0.9758</v>
      </c>
      <c r="O66" s="4">
        <v>6.3E-3</v>
      </c>
      <c r="P66" s="4">
        <v>0.99870000000000003</v>
      </c>
      <c r="Q66" s="4">
        <v>5.0000000000000001E-4</v>
      </c>
      <c r="R66" s="4">
        <v>928.02</v>
      </c>
      <c r="S66" s="68">
        <v>242.7</v>
      </c>
      <c r="Z66" s="150"/>
      <c r="AA66" s="153"/>
      <c r="AB66" s="14" t="s">
        <v>9</v>
      </c>
      <c r="AC66" s="14">
        <v>0.88839999999999997</v>
      </c>
      <c r="AD66" s="14">
        <v>4.1000000000000003E-3</v>
      </c>
      <c r="AE66" s="14">
        <v>0.68369999999999997</v>
      </c>
      <c r="AF66" s="14">
        <v>1.0999999999999999E-2</v>
      </c>
      <c r="AG66" s="14">
        <v>0.62460000000000004</v>
      </c>
      <c r="AH66" s="14">
        <v>2.1999999999999999E-2</v>
      </c>
      <c r="AI66" s="14">
        <v>0.65269999999999995</v>
      </c>
      <c r="AJ66" s="14">
        <v>1.5699999999999999E-2</v>
      </c>
      <c r="AK66" s="14">
        <v>0.89070000000000005</v>
      </c>
      <c r="AL66" s="14">
        <v>3.8999999999999998E-3</v>
      </c>
      <c r="AM66" s="14">
        <v>140.72999999999999</v>
      </c>
      <c r="AN66" s="15">
        <v>155.69999999999999</v>
      </c>
    </row>
    <row r="67" spans="5:40" x14ac:dyDescent="0.25">
      <c r="E67" s="177"/>
      <c r="F67" s="184" t="s">
        <v>2</v>
      </c>
      <c r="G67" s="54" t="s">
        <v>5</v>
      </c>
      <c r="H67" s="76">
        <v>0.95309999999999995</v>
      </c>
      <c r="I67" s="93">
        <v>8.3000000000000001E-3</v>
      </c>
      <c r="J67" s="18">
        <v>0.90129999999999999</v>
      </c>
      <c r="K67" s="18">
        <v>1.9300000000000001E-2</v>
      </c>
      <c r="L67" s="18">
        <v>0.94159999999999999</v>
      </c>
      <c r="M67" s="18">
        <v>9.4000000000000004E-3</v>
      </c>
      <c r="N67" s="18">
        <v>0.92100000000000004</v>
      </c>
      <c r="O67" s="18">
        <v>1.34E-2</v>
      </c>
      <c r="P67" s="18">
        <v>0.98939999999999995</v>
      </c>
      <c r="Q67" s="18">
        <v>2.5000000000000001E-3</v>
      </c>
      <c r="R67" s="18">
        <v>17.010000000000002</v>
      </c>
      <c r="S67" s="19">
        <v>95.9</v>
      </c>
      <c r="Z67" s="150"/>
      <c r="AA67" s="158" t="s">
        <v>17</v>
      </c>
      <c r="AB67" s="20" t="s">
        <v>5</v>
      </c>
      <c r="AC67" s="20">
        <v>0.90759999999999996</v>
      </c>
      <c r="AD67" s="20">
        <v>1.09E-2</v>
      </c>
      <c r="AE67" s="20">
        <v>0.91590000000000005</v>
      </c>
      <c r="AF67" s="20">
        <v>1.6799999999999999E-2</v>
      </c>
      <c r="AG67" s="20">
        <v>0.75060000000000004</v>
      </c>
      <c r="AH67" s="20">
        <v>3.7400000000000003E-2</v>
      </c>
      <c r="AI67" s="20">
        <v>0.82450000000000001</v>
      </c>
      <c r="AJ67" s="20">
        <v>2.3099999999999999E-2</v>
      </c>
      <c r="AK67" s="20">
        <v>0.95340000000000003</v>
      </c>
      <c r="AL67" s="20">
        <v>6.7999999999999996E-3</v>
      </c>
      <c r="AM67" s="20">
        <v>15.14</v>
      </c>
      <c r="AN67" s="21">
        <v>98.8</v>
      </c>
    </row>
    <row r="68" spans="5:40" x14ac:dyDescent="0.25">
      <c r="E68" s="177"/>
      <c r="F68" s="185"/>
      <c r="G68" s="55" t="s">
        <v>6</v>
      </c>
      <c r="H68" s="65">
        <v>0.9516</v>
      </c>
      <c r="I68" s="85">
        <v>7.4999999999999997E-3</v>
      </c>
      <c r="J68" s="20">
        <v>0.88590000000000002</v>
      </c>
      <c r="K68" s="20">
        <v>1.5900000000000001E-2</v>
      </c>
      <c r="L68" s="20">
        <v>0.95660000000000001</v>
      </c>
      <c r="M68" s="20">
        <v>8.0999999999999996E-3</v>
      </c>
      <c r="N68" s="20">
        <v>0.91990000000000005</v>
      </c>
      <c r="O68" s="20">
        <v>1.1900000000000001E-2</v>
      </c>
      <c r="P68" s="20">
        <v>0.99080000000000001</v>
      </c>
      <c r="Q68" s="20">
        <v>1.6999999999999999E-3</v>
      </c>
      <c r="R68" s="20">
        <v>19.149999999999999</v>
      </c>
      <c r="S68" s="21">
        <v>104.3</v>
      </c>
      <c r="Z68" s="150"/>
      <c r="AA68" s="158"/>
      <c r="AB68" s="20" t="s">
        <v>6</v>
      </c>
      <c r="AC68" s="20">
        <v>0.91339999999999999</v>
      </c>
      <c r="AD68" s="20">
        <v>9.5999999999999992E-3</v>
      </c>
      <c r="AE68" s="20">
        <v>0.94799999999999995</v>
      </c>
      <c r="AF68" s="20">
        <v>1.32E-2</v>
      </c>
      <c r="AG68" s="20">
        <v>0.74229999999999996</v>
      </c>
      <c r="AH68" s="20">
        <v>3.2899999999999999E-2</v>
      </c>
      <c r="AI68" s="20">
        <v>0.83220000000000005</v>
      </c>
      <c r="AJ68" s="20">
        <v>2.1000000000000001E-2</v>
      </c>
      <c r="AK68" s="20">
        <v>0.96060000000000001</v>
      </c>
      <c r="AL68" s="20">
        <v>4.7999999999999996E-3</v>
      </c>
      <c r="AM68" s="20">
        <v>19.82</v>
      </c>
      <c r="AN68" s="21">
        <v>114.6</v>
      </c>
    </row>
    <row r="69" spans="5:40" ht="15" customHeight="1" x14ac:dyDescent="0.25">
      <c r="E69" s="177"/>
      <c r="F69" s="185"/>
      <c r="G69" s="55" t="s">
        <v>7</v>
      </c>
      <c r="H69" s="65">
        <v>0.96809999999999996</v>
      </c>
      <c r="I69" s="85">
        <v>5.0000000000000001E-3</v>
      </c>
      <c r="J69" s="20">
        <v>0.93389999999999995</v>
      </c>
      <c r="K69" s="20">
        <v>1.84E-2</v>
      </c>
      <c r="L69" s="20">
        <v>0.95830000000000004</v>
      </c>
      <c r="M69" s="20">
        <v>8.3000000000000001E-3</v>
      </c>
      <c r="N69" s="20">
        <v>0.94579999999999997</v>
      </c>
      <c r="O69" s="20">
        <v>7.9000000000000008E-3</v>
      </c>
      <c r="P69" s="20">
        <v>0.99409999999999998</v>
      </c>
      <c r="Q69" s="20">
        <v>8.9999999999999998E-4</v>
      </c>
      <c r="R69" s="20">
        <v>24.87</v>
      </c>
      <c r="S69" s="21">
        <v>118.9</v>
      </c>
      <c r="Z69" s="150"/>
      <c r="AA69" s="158"/>
      <c r="AB69" s="20" t="s">
        <v>7</v>
      </c>
      <c r="AC69" s="20">
        <v>0.9093</v>
      </c>
      <c r="AD69" s="20">
        <v>8.0000000000000002E-3</v>
      </c>
      <c r="AE69" s="20">
        <v>0.95389999999999997</v>
      </c>
      <c r="AF69" s="20">
        <v>1.8599999999999998E-2</v>
      </c>
      <c r="AG69" s="20">
        <v>0.72309999999999997</v>
      </c>
      <c r="AH69" s="20">
        <v>3.9800000000000002E-2</v>
      </c>
      <c r="AI69" s="20">
        <v>0.8216</v>
      </c>
      <c r="AJ69" s="20">
        <v>2.07E-2</v>
      </c>
      <c r="AK69" s="20">
        <v>0.96640000000000004</v>
      </c>
      <c r="AL69" s="20">
        <v>6.4999999999999997E-3</v>
      </c>
      <c r="AM69" s="20">
        <v>24.21</v>
      </c>
      <c r="AN69" s="21">
        <v>129.19999999999999</v>
      </c>
    </row>
    <row r="70" spans="5:40" x14ac:dyDescent="0.25">
      <c r="E70" s="177"/>
      <c r="F70" s="185"/>
      <c r="G70" s="55" t="s">
        <v>18</v>
      </c>
      <c r="H70" s="65">
        <v>0.87229999999999996</v>
      </c>
      <c r="I70" s="85">
        <v>6.4999999999999997E-3</v>
      </c>
      <c r="J70" s="20">
        <v>0.70150000000000001</v>
      </c>
      <c r="K70" s="20">
        <v>1.18E-2</v>
      </c>
      <c r="L70" s="20">
        <v>0.97499999999999998</v>
      </c>
      <c r="M70" s="20">
        <v>3.7000000000000002E-3</v>
      </c>
      <c r="N70" s="20">
        <v>0.81579999999999997</v>
      </c>
      <c r="O70" s="20">
        <v>7.4999999999999997E-3</v>
      </c>
      <c r="P70" s="20">
        <v>0.95230000000000004</v>
      </c>
      <c r="Q70" s="20">
        <v>2.3999999999999998E-3</v>
      </c>
      <c r="R70" s="20">
        <v>16.93</v>
      </c>
      <c r="S70" s="21">
        <v>136.6</v>
      </c>
      <c r="Z70" s="150"/>
      <c r="AA70" s="158"/>
      <c r="AB70" s="20" t="s">
        <v>18</v>
      </c>
      <c r="AC70" s="20">
        <v>0.70289999999999997</v>
      </c>
      <c r="AD70" s="20">
        <v>1.3100000000000001E-2</v>
      </c>
      <c r="AE70" s="20">
        <v>0.48130000000000001</v>
      </c>
      <c r="AF70" s="20">
        <v>3.3300000000000003E-2</v>
      </c>
      <c r="AG70" s="20">
        <v>0.3261</v>
      </c>
      <c r="AH70" s="20">
        <v>3.3399999999999999E-2</v>
      </c>
      <c r="AI70" s="20">
        <v>0.38829999999999998</v>
      </c>
      <c r="AJ70" s="20">
        <v>3.2599999999999997E-2</v>
      </c>
      <c r="AK70" s="20">
        <v>0.67700000000000005</v>
      </c>
      <c r="AL70" s="20">
        <v>1.32E-2</v>
      </c>
      <c r="AM70" s="20">
        <v>15.07</v>
      </c>
      <c r="AN70" s="21">
        <v>146.80000000000001</v>
      </c>
    </row>
    <row r="71" spans="5:40" ht="15.75" thickBot="1" x14ac:dyDescent="0.3">
      <c r="E71" s="177"/>
      <c r="F71" s="186"/>
      <c r="G71" s="56" t="s">
        <v>9</v>
      </c>
      <c r="H71" s="70">
        <v>0.96830000000000005</v>
      </c>
      <c r="I71" s="94">
        <v>7.7000000000000002E-3</v>
      </c>
      <c r="J71" s="22">
        <v>0.95399999999999996</v>
      </c>
      <c r="K71" s="22">
        <v>2.2599999999999999E-2</v>
      </c>
      <c r="L71" s="22">
        <v>0.93659999999999999</v>
      </c>
      <c r="M71" s="22">
        <v>2.24E-2</v>
      </c>
      <c r="N71" s="22">
        <v>0.94489999999999996</v>
      </c>
      <c r="O71" s="22">
        <v>1.34E-2</v>
      </c>
      <c r="P71" s="22">
        <v>0.99450000000000005</v>
      </c>
      <c r="Q71" s="22">
        <v>2.5999999999999999E-3</v>
      </c>
      <c r="R71" s="22">
        <v>59.1</v>
      </c>
      <c r="S71" s="23">
        <v>148.19999999999999</v>
      </c>
      <c r="T71" s="96"/>
      <c r="Z71" s="151"/>
      <c r="AA71" s="159"/>
      <c r="AB71" s="22" t="s">
        <v>9</v>
      </c>
      <c r="AC71" s="22">
        <v>0.94610000000000005</v>
      </c>
      <c r="AD71" s="22">
        <v>7.9000000000000008E-3</v>
      </c>
      <c r="AE71" s="22">
        <v>0.91639999999999999</v>
      </c>
      <c r="AF71" s="22">
        <v>1.0699999999999999E-2</v>
      </c>
      <c r="AG71" s="22">
        <v>0.89580000000000004</v>
      </c>
      <c r="AH71" s="22">
        <v>2.2700000000000001E-2</v>
      </c>
      <c r="AI71" s="22">
        <v>0.90580000000000005</v>
      </c>
      <c r="AJ71" s="22">
        <v>1.4500000000000001E-2</v>
      </c>
      <c r="AK71" s="22">
        <v>0.97309999999999997</v>
      </c>
      <c r="AL71" s="22">
        <v>5.1999999999999998E-3</v>
      </c>
      <c r="AM71" s="22">
        <v>26.11</v>
      </c>
      <c r="AN71" s="23">
        <v>157.69999999999999</v>
      </c>
    </row>
    <row r="72" spans="5:40" x14ac:dyDescent="0.25">
      <c r="E72" s="177"/>
      <c r="F72" s="187" t="s">
        <v>3</v>
      </c>
      <c r="G72" s="47" t="s">
        <v>5</v>
      </c>
      <c r="H72" s="63">
        <v>0.90759999999999996</v>
      </c>
      <c r="I72" s="84">
        <v>1.09E-2</v>
      </c>
      <c r="J72" s="3">
        <v>0.91590000000000005</v>
      </c>
      <c r="K72" s="3">
        <v>1.6799999999999999E-2</v>
      </c>
      <c r="L72" s="3">
        <v>0.75060000000000004</v>
      </c>
      <c r="M72" s="3">
        <v>3.7400000000000003E-2</v>
      </c>
      <c r="N72" s="3">
        <v>0.82450000000000001</v>
      </c>
      <c r="O72" s="3">
        <v>2.3099999999999999E-2</v>
      </c>
      <c r="P72" s="3">
        <v>0.95340000000000003</v>
      </c>
      <c r="Q72" s="3">
        <v>6.7999999999999996E-3</v>
      </c>
      <c r="R72" s="3">
        <v>15.14</v>
      </c>
      <c r="S72" s="64">
        <v>98.8</v>
      </c>
      <c r="AB72" s="25"/>
      <c r="AC72">
        <f>AVERAGE(AC57:AC71)</f>
        <v>0.85486000000000006</v>
      </c>
      <c r="AD72">
        <f t="shared" ref="AD72:AN72" si="3">AVERAGE(AD57:AD71)</f>
        <v>5.9133333333333321E-3</v>
      </c>
      <c r="AE72">
        <f t="shared" si="3"/>
        <v>0.75305333333333324</v>
      </c>
      <c r="AF72">
        <f t="shared" si="3"/>
        <v>1.5133333333333332E-2</v>
      </c>
      <c r="AG72">
        <f t="shared" si="3"/>
        <v>0.5651466666666668</v>
      </c>
      <c r="AH72">
        <f t="shared" si="3"/>
        <v>2.0486666666666663E-2</v>
      </c>
      <c r="AI72">
        <f t="shared" si="3"/>
        <v>0.63308666666666669</v>
      </c>
      <c r="AJ72">
        <f t="shared" si="3"/>
        <v>1.5559999999999999E-2</v>
      </c>
      <c r="AK72">
        <f t="shared" si="3"/>
        <v>0.87818666666666667</v>
      </c>
      <c r="AL72">
        <f t="shared" si="3"/>
        <v>6.2399999999999999E-3</v>
      </c>
      <c r="AM72">
        <f t="shared" si="3"/>
        <v>192.60533333333333</v>
      </c>
      <c r="AN72">
        <f t="shared" si="3"/>
        <v>193.32</v>
      </c>
    </row>
    <row r="73" spans="5:40" ht="15.75" thickBot="1" x14ac:dyDescent="0.3">
      <c r="E73" s="177"/>
      <c r="F73" s="187"/>
      <c r="G73" s="48" t="s">
        <v>6</v>
      </c>
      <c r="H73" s="66">
        <v>0.91339999999999999</v>
      </c>
      <c r="I73" s="86">
        <v>9.5999999999999992E-3</v>
      </c>
      <c r="J73" s="1">
        <v>0.94799999999999995</v>
      </c>
      <c r="K73" s="1">
        <v>1.32E-2</v>
      </c>
      <c r="L73" s="1">
        <v>0.74229999999999996</v>
      </c>
      <c r="M73" s="1">
        <v>3.2899999999999999E-2</v>
      </c>
      <c r="N73" s="1">
        <v>0.83220000000000005</v>
      </c>
      <c r="O73" s="1">
        <v>2.1000000000000001E-2</v>
      </c>
      <c r="P73" s="1">
        <v>0.96060000000000001</v>
      </c>
      <c r="Q73" s="1">
        <v>4.7999999999999996E-3</v>
      </c>
      <c r="R73" s="1">
        <v>19.82</v>
      </c>
      <c r="S73" s="41">
        <v>114.6</v>
      </c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40" ht="15" customHeight="1" x14ac:dyDescent="0.25">
      <c r="E74" s="177"/>
      <c r="F74" s="187"/>
      <c r="G74" s="48" t="s">
        <v>7</v>
      </c>
      <c r="H74" s="66">
        <v>0.9093</v>
      </c>
      <c r="I74" s="86">
        <v>8.0000000000000002E-3</v>
      </c>
      <c r="J74" s="1">
        <v>0.95389999999999997</v>
      </c>
      <c r="K74" s="1">
        <v>1.8599999999999998E-2</v>
      </c>
      <c r="L74" s="1">
        <v>0.72309999999999997</v>
      </c>
      <c r="M74" s="1">
        <v>3.9800000000000002E-2</v>
      </c>
      <c r="N74" s="1">
        <v>0.8216</v>
      </c>
      <c r="O74" s="1">
        <v>2.07E-2</v>
      </c>
      <c r="P74" s="1">
        <v>0.96640000000000004</v>
      </c>
      <c r="Q74" s="1">
        <v>6.4999999999999997E-3</v>
      </c>
      <c r="R74" s="1">
        <v>24.21</v>
      </c>
      <c r="S74" s="41">
        <v>129.19999999999999</v>
      </c>
      <c r="Z74" s="207" t="s">
        <v>4</v>
      </c>
      <c r="AA74" s="153" t="s">
        <v>20</v>
      </c>
      <c r="AB74" s="6" t="s">
        <v>5</v>
      </c>
      <c r="AC74" s="60">
        <v>0.93120000000000003</v>
      </c>
      <c r="AD74" s="81">
        <v>2.7000000000000001E-3</v>
      </c>
      <c r="AE74" s="6">
        <v>0.87250000000000005</v>
      </c>
      <c r="AF74" s="6">
        <v>2.3E-3</v>
      </c>
      <c r="AG74" s="6">
        <v>0.85099999999999998</v>
      </c>
      <c r="AH74" s="6">
        <v>1.2E-2</v>
      </c>
      <c r="AI74" s="6">
        <v>0.86160000000000003</v>
      </c>
      <c r="AJ74" s="6">
        <v>6.4000000000000003E-3</v>
      </c>
      <c r="AK74" s="6">
        <v>0.9728</v>
      </c>
      <c r="AL74" s="6">
        <v>2.3999999999999998E-3</v>
      </c>
      <c r="AM74" s="6">
        <v>95.37</v>
      </c>
      <c r="AN74" s="7">
        <v>121.7</v>
      </c>
    </row>
    <row r="75" spans="5:40" x14ac:dyDescent="0.25">
      <c r="E75" s="177"/>
      <c r="F75" s="187"/>
      <c r="G75" s="48" t="s">
        <v>18</v>
      </c>
      <c r="H75" s="66">
        <v>0.70289999999999997</v>
      </c>
      <c r="I75" s="86">
        <v>1.3100000000000001E-2</v>
      </c>
      <c r="J75" s="1">
        <v>0.48130000000000001</v>
      </c>
      <c r="K75" s="1">
        <v>3.3300000000000003E-2</v>
      </c>
      <c r="L75" s="1">
        <v>0.3261</v>
      </c>
      <c r="M75" s="1">
        <v>3.3399999999999999E-2</v>
      </c>
      <c r="N75" s="1">
        <v>0.38829999999999998</v>
      </c>
      <c r="O75" s="1">
        <v>3.2599999999999997E-2</v>
      </c>
      <c r="P75" s="1">
        <v>0.67700000000000005</v>
      </c>
      <c r="Q75" s="1">
        <v>1.32E-2</v>
      </c>
      <c r="R75" s="1">
        <v>15.07</v>
      </c>
      <c r="S75" s="41">
        <v>146.80000000000001</v>
      </c>
      <c r="Z75" s="207"/>
      <c r="AA75" s="153"/>
      <c r="AB75" s="8" t="s">
        <v>6</v>
      </c>
      <c r="AC75" s="61">
        <v>0.9325</v>
      </c>
      <c r="AD75" s="82">
        <v>1.8E-3</v>
      </c>
      <c r="AE75" s="8">
        <v>0.88080000000000003</v>
      </c>
      <c r="AF75" s="8">
        <v>3.2000000000000002E-3</v>
      </c>
      <c r="AG75" s="8">
        <v>0.84640000000000004</v>
      </c>
      <c r="AH75" s="8">
        <v>9.1999999999999998E-3</v>
      </c>
      <c r="AI75" s="8">
        <v>0.86319999999999997</v>
      </c>
      <c r="AJ75" s="8">
        <v>4.4000000000000003E-3</v>
      </c>
      <c r="AK75" s="8">
        <v>0.97050000000000003</v>
      </c>
      <c r="AL75" s="8">
        <v>1.8E-3</v>
      </c>
      <c r="AM75" s="8">
        <v>3564.22</v>
      </c>
      <c r="AN75" s="9">
        <v>0</v>
      </c>
    </row>
    <row r="76" spans="5:40" ht="15.75" thickBot="1" x14ac:dyDescent="0.3">
      <c r="E76" s="177"/>
      <c r="F76" s="187"/>
      <c r="G76" s="49" t="s">
        <v>9</v>
      </c>
      <c r="H76" s="67">
        <v>0.94610000000000005</v>
      </c>
      <c r="I76" s="87">
        <v>7.9000000000000008E-3</v>
      </c>
      <c r="J76" s="4">
        <v>0.91639999999999999</v>
      </c>
      <c r="K76" s="4">
        <v>1.0699999999999999E-2</v>
      </c>
      <c r="L76" s="4">
        <v>0.89580000000000004</v>
      </c>
      <c r="M76" s="4">
        <v>2.2700000000000001E-2</v>
      </c>
      <c r="N76" s="4">
        <v>0.90580000000000005</v>
      </c>
      <c r="O76" s="4">
        <v>1.4500000000000001E-2</v>
      </c>
      <c r="P76" s="4">
        <v>0.97309999999999997</v>
      </c>
      <c r="Q76" s="4">
        <v>5.1999999999999998E-3</v>
      </c>
      <c r="R76" s="4">
        <v>26.11</v>
      </c>
      <c r="S76" s="68">
        <v>157.69999999999999</v>
      </c>
      <c r="Z76" s="207"/>
      <c r="AA76" s="153"/>
      <c r="AB76" s="8" t="s">
        <v>7</v>
      </c>
      <c r="AC76" s="61">
        <v>0.92230000000000001</v>
      </c>
      <c r="AD76" s="82">
        <v>4.1000000000000003E-3</v>
      </c>
      <c r="AE76" s="8">
        <v>0.91120000000000001</v>
      </c>
      <c r="AF76" s="8">
        <v>5.4000000000000003E-3</v>
      </c>
      <c r="AG76" s="8">
        <v>0.76600000000000001</v>
      </c>
      <c r="AH76" s="8">
        <v>1.72E-2</v>
      </c>
      <c r="AI76" s="8">
        <v>0.83220000000000005</v>
      </c>
      <c r="AJ76" s="8">
        <v>1.0500000000000001E-2</v>
      </c>
      <c r="AK76" s="8">
        <v>0.97240000000000004</v>
      </c>
      <c r="AL76" s="8">
        <v>2.5999999999999999E-3</v>
      </c>
      <c r="AM76" s="8">
        <v>515.9</v>
      </c>
      <c r="AN76" s="9">
        <v>1.5</v>
      </c>
    </row>
    <row r="77" spans="5:40" x14ac:dyDescent="0.25">
      <c r="E77" s="177"/>
      <c r="F77" s="188" t="s">
        <v>4</v>
      </c>
      <c r="G77" s="54" t="s">
        <v>5</v>
      </c>
      <c r="H77" s="76">
        <v>0.97409999999999997</v>
      </c>
      <c r="I77" s="93">
        <v>4.7000000000000002E-3</v>
      </c>
      <c r="J77" s="18">
        <v>0.9536</v>
      </c>
      <c r="K77" s="18">
        <v>8.5000000000000006E-3</v>
      </c>
      <c r="L77" s="18">
        <v>0.95750000000000002</v>
      </c>
      <c r="M77" s="18">
        <v>1.3599999999999999E-2</v>
      </c>
      <c r="N77" s="18">
        <v>0.95540000000000003</v>
      </c>
      <c r="O77" s="18">
        <v>8.3999999999999995E-3</v>
      </c>
      <c r="P77" s="18">
        <v>0.996</v>
      </c>
      <c r="Q77" s="18">
        <v>2E-3</v>
      </c>
      <c r="R77" s="18">
        <v>19.43</v>
      </c>
      <c r="S77" s="19">
        <v>13.1</v>
      </c>
      <c r="Z77" s="207"/>
      <c r="AA77" s="153"/>
      <c r="AB77" s="8" t="s">
        <v>8</v>
      </c>
      <c r="AC77" s="61">
        <v>0.73260000000000003</v>
      </c>
      <c r="AD77" s="82">
        <v>2E-3</v>
      </c>
      <c r="AE77" s="8">
        <v>0.48149999999999998</v>
      </c>
      <c r="AF77" s="8">
        <v>2.3E-3</v>
      </c>
      <c r="AG77" s="8">
        <v>0.80759999999999998</v>
      </c>
      <c r="AH77" s="8">
        <v>1.4E-3</v>
      </c>
      <c r="AI77" s="8">
        <v>0.60329999999999995</v>
      </c>
      <c r="AJ77" s="8">
        <v>1.6000000000000001E-3</v>
      </c>
      <c r="AK77" s="8">
        <v>0.81320000000000003</v>
      </c>
      <c r="AL77" s="8">
        <v>2.2000000000000001E-3</v>
      </c>
      <c r="AM77" s="8">
        <v>84.7</v>
      </c>
      <c r="AN77" s="9">
        <v>0.2</v>
      </c>
    </row>
    <row r="78" spans="5:40" ht="15.75" thickBot="1" x14ac:dyDescent="0.3">
      <c r="E78" s="177"/>
      <c r="F78" s="180"/>
      <c r="G78" s="55" t="s">
        <v>6</v>
      </c>
      <c r="H78" s="65">
        <v>0.9698</v>
      </c>
      <c r="I78" s="85">
        <v>5.1999999999999998E-3</v>
      </c>
      <c r="J78" s="20">
        <v>0.94389999999999996</v>
      </c>
      <c r="K78" s="20">
        <v>1.01E-2</v>
      </c>
      <c r="L78" s="20">
        <v>0.95240000000000002</v>
      </c>
      <c r="M78" s="20">
        <v>1.6E-2</v>
      </c>
      <c r="N78" s="20">
        <v>0.94810000000000005</v>
      </c>
      <c r="O78" s="20">
        <v>9.2999999999999992E-3</v>
      </c>
      <c r="P78" s="20">
        <v>0.99539999999999995</v>
      </c>
      <c r="Q78" s="20">
        <v>1.2999999999999999E-3</v>
      </c>
      <c r="R78" s="20">
        <v>30.8</v>
      </c>
      <c r="S78" s="21">
        <v>28.6</v>
      </c>
      <c r="Z78" s="207"/>
      <c r="AA78" s="153"/>
      <c r="AB78" s="10" t="s">
        <v>9</v>
      </c>
      <c r="AC78" s="62">
        <v>0.94020000000000004</v>
      </c>
      <c r="AD78" s="83">
        <v>3.3999999999999998E-3</v>
      </c>
      <c r="AE78" s="10">
        <v>0.88490000000000002</v>
      </c>
      <c r="AF78" s="10">
        <v>1.09E-2</v>
      </c>
      <c r="AG78" s="10">
        <v>0.87680000000000002</v>
      </c>
      <c r="AH78" s="10">
        <v>1.6199999999999999E-2</v>
      </c>
      <c r="AI78" s="10">
        <v>0.88070000000000004</v>
      </c>
      <c r="AJ78" s="10">
        <v>7.3000000000000001E-3</v>
      </c>
      <c r="AK78" s="10">
        <v>0.96899999999999997</v>
      </c>
      <c r="AL78" s="10">
        <v>3.2000000000000002E-3</v>
      </c>
      <c r="AM78" s="10">
        <v>936.53</v>
      </c>
      <c r="AN78" s="11">
        <v>13.5</v>
      </c>
    </row>
    <row r="79" spans="5:40" x14ac:dyDescent="0.25">
      <c r="E79" s="177"/>
      <c r="F79" s="180"/>
      <c r="G79" s="55" t="s">
        <v>7</v>
      </c>
      <c r="H79" s="65">
        <v>0.94630000000000003</v>
      </c>
      <c r="I79" s="85">
        <v>6.8999999999999999E-3</v>
      </c>
      <c r="J79" s="20">
        <v>0.93910000000000005</v>
      </c>
      <c r="K79" s="20">
        <v>1.54E-2</v>
      </c>
      <c r="L79" s="20">
        <v>0.87150000000000005</v>
      </c>
      <c r="M79" s="20">
        <v>1.6799999999999999E-2</v>
      </c>
      <c r="N79" s="20">
        <v>0.90400000000000003</v>
      </c>
      <c r="O79" s="20">
        <v>1.24E-2</v>
      </c>
      <c r="P79" s="20">
        <v>0.99119999999999997</v>
      </c>
      <c r="Q79" s="20">
        <v>2.0999999999999999E-3</v>
      </c>
      <c r="R79" s="20">
        <v>52.5</v>
      </c>
      <c r="S79" s="21">
        <v>0.3</v>
      </c>
      <c r="Z79" s="207"/>
      <c r="AA79" s="153" t="s">
        <v>21</v>
      </c>
      <c r="AB79" s="12" t="s">
        <v>5</v>
      </c>
      <c r="AC79" s="75">
        <v>0.90459999999999996</v>
      </c>
      <c r="AD79" s="92">
        <v>2.8999999999999998E-3</v>
      </c>
      <c r="AE79" s="12">
        <v>0.75190000000000001</v>
      </c>
      <c r="AF79" s="12">
        <v>1.46E-2</v>
      </c>
      <c r="AG79" s="12">
        <v>0.64500000000000002</v>
      </c>
      <c r="AH79" s="12">
        <v>1.2800000000000001E-2</v>
      </c>
      <c r="AI79" s="12">
        <v>0.69420000000000004</v>
      </c>
      <c r="AJ79" s="12">
        <v>8.6E-3</v>
      </c>
      <c r="AK79" s="12">
        <v>0.93869999999999998</v>
      </c>
      <c r="AL79" s="12">
        <v>3.3E-3</v>
      </c>
      <c r="AM79" s="12">
        <v>28.72</v>
      </c>
      <c r="AN79" s="13">
        <v>60.9</v>
      </c>
    </row>
    <row r="80" spans="5:40" x14ac:dyDescent="0.25">
      <c r="E80" s="177"/>
      <c r="F80" s="180"/>
      <c r="G80" s="55" t="s">
        <v>8</v>
      </c>
      <c r="H80" s="65">
        <v>0.91800000000000004</v>
      </c>
      <c r="I80" s="85">
        <v>1.46E-2</v>
      </c>
      <c r="J80" s="20">
        <v>0.81069999999999998</v>
      </c>
      <c r="K80" s="20">
        <v>3.1300000000000001E-2</v>
      </c>
      <c r="L80" s="20">
        <v>0.9375</v>
      </c>
      <c r="M80" s="20">
        <v>1.4200000000000001E-2</v>
      </c>
      <c r="N80" s="20">
        <v>0.86929999999999996</v>
      </c>
      <c r="O80" s="20">
        <v>2.1899999999999999E-2</v>
      </c>
      <c r="P80" s="20">
        <v>0.96299999999999997</v>
      </c>
      <c r="Q80" s="20">
        <v>4.7999999999999996E-3</v>
      </c>
      <c r="R80" s="20">
        <v>19.2</v>
      </c>
      <c r="S80" s="21">
        <v>0</v>
      </c>
      <c r="Z80" s="207"/>
      <c r="AA80" s="153"/>
      <c r="AB80" s="14" t="s">
        <v>6</v>
      </c>
      <c r="AC80" s="69">
        <v>0.90259999999999996</v>
      </c>
      <c r="AD80" s="90">
        <v>3.8999999999999998E-3</v>
      </c>
      <c r="AE80" s="14">
        <v>0.81040000000000001</v>
      </c>
      <c r="AF80" s="14">
        <v>1.9400000000000001E-2</v>
      </c>
      <c r="AG80" s="14">
        <v>0.54830000000000001</v>
      </c>
      <c r="AH80" s="14">
        <v>1.6E-2</v>
      </c>
      <c r="AI80" s="14">
        <v>0.65400000000000003</v>
      </c>
      <c r="AJ80" s="14">
        <v>1.47E-2</v>
      </c>
      <c r="AK80" s="14">
        <v>0.93589999999999995</v>
      </c>
      <c r="AL80" s="14">
        <v>3.3E-3</v>
      </c>
      <c r="AM80" s="14">
        <v>837.18</v>
      </c>
      <c r="AN80" s="15">
        <v>48</v>
      </c>
    </row>
    <row r="81" spans="5:40" ht="15.75" thickBot="1" x14ac:dyDescent="0.3">
      <c r="E81" s="178"/>
      <c r="F81" s="181"/>
      <c r="G81" s="56" t="s">
        <v>9</v>
      </c>
      <c r="H81" s="70">
        <v>0.97389999999999999</v>
      </c>
      <c r="I81" s="94">
        <v>5.5999999999999999E-3</v>
      </c>
      <c r="J81" s="22">
        <v>0.95289999999999997</v>
      </c>
      <c r="K81" s="22">
        <v>8.6E-3</v>
      </c>
      <c r="L81" s="22">
        <v>0.95740000000000003</v>
      </c>
      <c r="M81" s="22">
        <v>2.1999999999999999E-2</v>
      </c>
      <c r="N81" s="22">
        <v>0.95499999999999996</v>
      </c>
      <c r="O81" s="22">
        <v>1.03E-2</v>
      </c>
      <c r="P81" s="22">
        <v>0.99639999999999995</v>
      </c>
      <c r="Q81" s="22">
        <v>1.8E-3</v>
      </c>
      <c r="R81" s="22">
        <v>35.29</v>
      </c>
      <c r="S81" s="23">
        <v>2.5</v>
      </c>
      <c r="Z81" s="207"/>
      <c r="AA81" s="153"/>
      <c r="AB81" s="14" t="s">
        <v>7</v>
      </c>
      <c r="AC81" s="69">
        <v>0.86750000000000005</v>
      </c>
      <c r="AD81" s="90">
        <v>4.1999999999999997E-3</v>
      </c>
      <c r="AE81" s="14">
        <v>0.85389999999999999</v>
      </c>
      <c r="AF81" s="14">
        <v>2.8000000000000001E-2</v>
      </c>
      <c r="AG81" s="14">
        <v>0.255</v>
      </c>
      <c r="AH81" s="14">
        <v>2.2599999999999999E-2</v>
      </c>
      <c r="AI81" s="14">
        <v>0.39219999999999999</v>
      </c>
      <c r="AJ81" s="14">
        <v>2.8799999999999999E-2</v>
      </c>
      <c r="AK81" s="14">
        <v>0.88539999999999996</v>
      </c>
      <c r="AL81" s="14">
        <v>8.0999999999999996E-3</v>
      </c>
      <c r="AM81" s="14">
        <v>296.98</v>
      </c>
      <c r="AN81" s="15">
        <v>26.4</v>
      </c>
    </row>
    <row r="82" spans="5:40" x14ac:dyDescent="0.25">
      <c r="Z82" s="207"/>
      <c r="AA82" s="153"/>
      <c r="AB82" s="14" t="s">
        <v>8</v>
      </c>
      <c r="AC82" s="69">
        <v>0.78659999999999997</v>
      </c>
      <c r="AD82" s="90">
        <v>6.3E-3</v>
      </c>
      <c r="AE82" s="14">
        <v>0.42309999999999998</v>
      </c>
      <c r="AF82" s="14">
        <v>1.03E-2</v>
      </c>
      <c r="AG82" s="14">
        <v>0.74380000000000002</v>
      </c>
      <c r="AH82" s="14">
        <v>2.1700000000000001E-2</v>
      </c>
      <c r="AI82" s="14">
        <v>0.5393</v>
      </c>
      <c r="AJ82" s="14">
        <v>1.2800000000000001E-2</v>
      </c>
      <c r="AK82" s="14">
        <v>0.84619999999999995</v>
      </c>
      <c r="AL82" s="14">
        <v>9.4000000000000004E-3</v>
      </c>
      <c r="AM82" s="14">
        <v>24.86</v>
      </c>
      <c r="AN82" s="15">
        <v>0</v>
      </c>
    </row>
    <row r="83" spans="5:40" ht="15.75" thickBot="1" x14ac:dyDescent="0.3">
      <c r="Z83" s="207"/>
      <c r="AA83" s="153"/>
      <c r="AB83" s="16" t="s">
        <v>9</v>
      </c>
      <c r="AC83" s="74">
        <v>0.89990000000000003</v>
      </c>
      <c r="AD83" s="91">
        <v>5.5999999999999999E-3</v>
      </c>
      <c r="AE83" s="16">
        <v>0.72370000000000001</v>
      </c>
      <c r="AF83" s="16">
        <v>3.4700000000000002E-2</v>
      </c>
      <c r="AG83" s="16">
        <v>0.65920000000000001</v>
      </c>
      <c r="AH83" s="16">
        <v>3.5200000000000002E-2</v>
      </c>
      <c r="AI83" s="16">
        <v>0.68840000000000001</v>
      </c>
      <c r="AJ83" s="16">
        <v>1.55E-2</v>
      </c>
      <c r="AK83" s="16">
        <v>0.93049999999999999</v>
      </c>
      <c r="AL83" s="16">
        <v>4.0000000000000001E-3</v>
      </c>
      <c r="AM83" s="16">
        <v>330.41</v>
      </c>
      <c r="AN83" s="17">
        <v>13.5</v>
      </c>
    </row>
    <row r="84" spans="5:40" x14ac:dyDescent="0.25">
      <c r="Z84" s="207"/>
      <c r="AA84" s="158" t="s">
        <v>17</v>
      </c>
      <c r="AB84" s="18" t="s">
        <v>5</v>
      </c>
      <c r="AC84" s="76">
        <v>0.97409999999999997</v>
      </c>
      <c r="AD84" s="93">
        <v>4.7000000000000002E-3</v>
      </c>
      <c r="AE84" s="18">
        <v>0.9536</v>
      </c>
      <c r="AF84" s="18">
        <v>8.5000000000000006E-3</v>
      </c>
      <c r="AG84" s="18">
        <v>0.95750000000000002</v>
      </c>
      <c r="AH84" s="18">
        <v>1.3599999999999999E-2</v>
      </c>
      <c r="AI84" s="18">
        <v>0.95540000000000003</v>
      </c>
      <c r="AJ84" s="18">
        <v>8.3999999999999995E-3</v>
      </c>
      <c r="AK84" s="18">
        <v>0.996</v>
      </c>
      <c r="AL84" s="18">
        <v>2E-3</v>
      </c>
      <c r="AM84" s="18">
        <v>19.43</v>
      </c>
      <c r="AN84" s="19">
        <v>13.1</v>
      </c>
    </row>
    <row r="85" spans="5:40" x14ac:dyDescent="0.25">
      <c r="Z85" s="207"/>
      <c r="AA85" s="158"/>
      <c r="AB85" s="20" t="s">
        <v>6</v>
      </c>
      <c r="AC85" s="65">
        <v>0.9698</v>
      </c>
      <c r="AD85" s="85">
        <v>5.1999999999999998E-3</v>
      </c>
      <c r="AE85" s="20">
        <v>0.94389999999999996</v>
      </c>
      <c r="AF85" s="20">
        <v>1.01E-2</v>
      </c>
      <c r="AG85" s="20">
        <v>0.95240000000000002</v>
      </c>
      <c r="AH85" s="20">
        <v>1.6E-2</v>
      </c>
      <c r="AI85" s="20">
        <v>0.94810000000000005</v>
      </c>
      <c r="AJ85" s="20">
        <v>9.2999999999999992E-3</v>
      </c>
      <c r="AK85" s="20">
        <v>0.99539999999999995</v>
      </c>
      <c r="AL85" s="20">
        <v>1.2999999999999999E-3</v>
      </c>
      <c r="AM85" s="20">
        <v>30.8</v>
      </c>
      <c r="AN85" s="21">
        <v>28.6</v>
      </c>
    </row>
    <row r="86" spans="5:40" ht="15" customHeight="1" x14ac:dyDescent="0.25">
      <c r="Z86" s="207"/>
      <c r="AA86" s="158"/>
      <c r="AB86" s="20" t="s">
        <v>7</v>
      </c>
      <c r="AC86" s="65">
        <v>0.94630000000000003</v>
      </c>
      <c r="AD86" s="85">
        <v>6.8999999999999999E-3</v>
      </c>
      <c r="AE86" s="20">
        <v>0.93910000000000005</v>
      </c>
      <c r="AF86" s="20">
        <v>1.54E-2</v>
      </c>
      <c r="AG86" s="20">
        <v>0.87150000000000005</v>
      </c>
      <c r="AH86" s="20">
        <v>1.6799999999999999E-2</v>
      </c>
      <c r="AI86" s="20">
        <v>0.90400000000000003</v>
      </c>
      <c r="AJ86" s="20">
        <v>1.24E-2</v>
      </c>
      <c r="AK86" s="20">
        <v>0.99119999999999997</v>
      </c>
      <c r="AL86" s="20">
        <v>2.0999999999999999E-3</v>
      </c>
      <c r="AM86" s="20">
        <v>52.5</v>
      </c>
      <c r="AN86" s="21">
        <v>0.3</v>
      </c>
    </row>
    <row r="87" spans="5:40" x14ac:dyDescent="0.25">
      <c r="Z87" s="207"/>
      <c r="AA87" s="158"/>
      <c r="AB87" s="20" t="s">
        <v>8</v>
      </c>
      <c r="AC87" s="65">
        <v>0.91800000000000004</v>
      </c>
      <c r="AD87" s="85">
        <v>1.46E-2</v>
      </c>
      <c r="AE87" s="20">
        <v>0.81069999999999998</v>
      </c>
      <c r="AF87" s="20">
        <v>3.1300000000000001E-2</v>
      </c>
      <c r="AG87" s="20">
        <v>0.9375</v>
      </c>
      <c r="AH87" s="20">
        <v>1.4200000000000001E-2</v>
      </c>
      <c r="AI87" s="20">
        <v>0.86929999999999996</v>
      </c>
      <c r="AJ87" s="20">
        <v>2.1899999999999999E-2</v>
      </c>
      <c r="AK87" s="20">
        <v>0.96299999999999997</v>
      </c>
      <c r="AL87" s="20">
        <v>4.7999999999999996E-3</v>
      </c>
      <c r="AM87" s="20">
        <v>19.2</v>
      </c>
      <c r="AN87" s="21">
        <v>0</v>
      </c>
    </row>
    <row r="88" spans="5:40" ht="15.75" thickBot="1" x14ac:dyDescent="0.3">
      <c r="Z88" s="207"/>
      <c r="AA88" s="158"/>
      <c r="AB88" s="22" t="s">
        <v>9</v>
      </c>
      <c r="AC88" s="70">
        <v>0.97389999999999999</v>
      </c>
      <c r="AD88" s="94">
        <v>5.5999999999999999E-3</v>
      </c>
      <c r="AE88" s="22">
        <v>0.95289999999999997</v>
      </c>
      <c r="AF88" s="22">
        <v>8.6E-3</v>
      </c>
      <c r="AG88" s="22">
        <v>0.95740000000000003</v>
      </c>
      <c r="AH88" s="22">
        <v>2.1999999999999999E-2</v>
      </c>
      <c r="AI88" s="22">
        <v>0.95499999999999996</v>
      </c>
      <c r="AJ88" s="22">
        <v>1.03E-2</v>
      </c>
      <c r="AK88" s="22">
        <v>0.99639999999999995</v>
      </c>
      <c r="AL88" s="22">
        <v>1.8E-3</v>
      </c>
      <c r="AM88" s="22">
        <v>35.29</v>
      </c>
      <c r="AN88" s="23">
        <v>2.5</v>
      </c>
    </row>
    <row r="89" spans="5:40" x14ac:dyDescent="0.25">
      <c r="AA89" s="26"/>
      <c r="AB89" s="25"/>
      <c r="AC89">
        <f>AVERAGE(AC74:AC88)</f>
        <v>0.90680666666666665</v>
      </c>
      <c r="AD89">
        <f t="shared" ref="AD89:AN89" si="4">AVERAGE(AD74:AD88)</f>
        <v>4.926666666666666E-3</v>
      </c>
      <c r="AE89">
        <f t="shared" si="4"/>
        <v>0.81294</v>
      </c>
      <c r="AF89">
        <f t="shared" si="4"/>
        <v>1.3666666666666666E-2</v>
      </c>
      <c r="AG89">
        <f t="shared" si="4"/>
        <v>0.77835999999999994</v>
      </c>
      <c r="AH89">
        <f t="shared" si="4"/>
        <v>1.6459999999999999E-2</v>
      </c>
      <c r="AI89">
        <f t="shared" si="4"/>
        <v>0.77605999999999997</v>
      </c>
      <c r="AJ89">
        <f t="shared" si="4"/>
        <v>1.1526666666666666E-2</v>
      </c>
      <c r="AK89">
        <f t="shared" si="4"/>
        <v>0.94510666666666654</v>
      </c>
      <c r="AL89">
        <f t="shared" si="4"/>
        <v>3.486666666666667E-3</v>
      </c>
      <c r="AM89">
        <f t="shared" si="4"/>
        <v>458.13933333333335</v>
      </c>
      <c r="AN89">
        <f t="shared" si="4"/>
        <v>22.013333333333335</v>
      </c>
    </row>
    <row r="90" spans="5:40" x14ac:dyDescent="0.25"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40" x14ac:dyDescent="0.25"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40" x14ac:dyDescent="0.25">
      <c r="AB92" s="28" t="s">
        <v>24</v>
      </c>
      <c r="AC92" s="97" t="s">
        <v>10</v>
      </c>
      <c r="AD92" s="97" t="s">
        <v>418</v>
      </c>
      <c r="AE92" s="97" t="s">
        <v>11</v>
      </c>
      <c r="AF92" s="97" t="s">
        <v>419</v>
      </c>
      <c r="AG92" s="97" t="s">
        <v>12</v>
      </c>
      <c r="AH92" s="97" t="s">
        <v>420</v>
      </c>
      <c r="AI92" s="97" t="s">
        <v>13</v>
      </c>
      <c r="AJ92" s="97" t="s">
        <v>421</v>
      </c>
      <c r="AK92" s="97" t="s">
        <v>14</v>
      </c>
      <c r="AL92" s="97" t="s">
        <v>422</v>
      </c>
      <c r="AM92" s="98" t="s">
        <v>66</v>
      </c>
      <c r="AN92" s="98" t="s">
        <v>67</v>
      </c>
    </row>
    <row r="93" spans="5:40" x14ac:dyDescent="0.25">
      <c r="AB93" s="99" t="s">
        <v>0</v>
      </c>
      <c r="AC93" s="27">
        <f>AC20</f>
        <v>0.94409333333333345</v>
      </c>
      <c r="AD93" s="27">
        <f t="shared" ref="AD93:AN93" si="5">AD20</f>
        <v>2.7733333333333334E-3</v>
      </c>
      <c r="AE93" s="27">
        <f t="shared" si="5"/>
        <v>0.90472666666666668</v>
      </c>
      <c r="AF93" s="27">
        <f t="shared" si="5"/>
        <v>8.9533333333333322E-3</v>
      </c>
      <c r="AG93" s="27">
        <f t="shared" si="5"/>
        <v>0.8258333333333332</v>
      </c>
      <c r="AH93" s="27">
        <f t="shared" si="5"/>
        <v>9.8933333333333356E-3</v>
      </c>
      <c r="AI93" s="27">
        <f t="shared" si="5"/>
        <v>0.85770666666666684</v>
      </c>
      <c r="AJ93" s="27">
        <f t="shared" si="5"/>
        <v>6.6666666666666671E-3</v>
      </c>
      <c r="AK93" s="27">
        <f t="shared" si="5"/>
        <v>0.97639999999999993</v>
      </c>
      <c r="AL93" s="27">
        <f t="shared" si="5"/>
        <v>2.453333333333333E-3</v>
      </c>
      <c r="AM93" s="27">
        <f t="shared" si="5"/>
        <v>698.25733333333335</v>
      </c>
      <c r="AN93" s="27">
        <f t="shared" si="5"/>
        <v>80.59999999999998</v>
      </c>
    </row>
    <row r="94" spans="5:40" ht="15.75" x14ac:dyDescent="0.25">
      <c r="AB94" s="99" t="s">
        <v>1</v>
      </c>
      <c r="AC94" s="29">
        <f>AC38</f>
        <v>0.92917333333333318</v>
      </c>
      <c r="AD94" s="29">
        <f t="shared" ref="AD94:AN94" si="6">AD38</f>
        <v>3.5200000000000001E-3</v>
      </c>
      <c r="AE94" s="29">
        <f t="shared" si="6"/>
        <v>0.92765333333333322</v>
      </c>
      <c r="AF94" s="29">
        <f t="shared" si="6"/>
        <v>1.0833333333333334E-2</v>
      </c>
      <c r="AG94" s="29">
        <f t="shared" si="6"/>
        <v>0.72818666666666654</v>
      </c>
      <c r="AH94" s="29">
        <f t="shared" si="6"/>
        <v>1.14E-2</v>
      </c>
      <c r="AI94" s="29">
        <f t="shared" si="6"/>
        <v>0.78404666666666656</v>
      </c>
      <c r="AJ94" s="29">
        <f t="shared" si="6"/>
        <v>9.5333333333333346E-3</v>
      </c>
      <c r="AK94" s="29">
        <f t="shared" si="6"/>
        <v>0.97845333333333318</v>
      </c>
      <c r="AL94" s="29">
        <f t="shared" si="6"/>
        <v>1.7400000000000004E-3</v>
      </c>
      <c r="AM94" s="29">
        <f t="shared" si="6"/>
        <v>791.76933333333341</v>
      </c>
      <c r="AN94" s="29">
        <f t="shared" si="6"/>
        <v>61.860000000000007</v>
      </c>
    </row>
    <row r="95" spans="5:40" x14ac:dyDescent="0.25">
      <c r="AB95" s="99" t="s">
        <v>2</v>
      </c>
      <c r="AC95" s="27">
        <f>AC55</f>
        <v>0.88165333333333318</v>
      </c>
      <c r="AD95" s="27">
        <f t="shared" ref="AD95:AN95" si="7">AD55</f>
        <v>4.9733333333333331E-3</v>
      </c>
      <c r="AE95" s="27">
        <f t="shared" si="7"/>
        <v>0.75231333333333328</v>
      </c>
      <c r="AF95" s="27">
        <f t="shared" si="7"/>
        <v>1.572666666666667E-2</v>
      </c>
      <c r="AG95" s="27">
        <f t="shared" si="7"/>
        <v>0.77199333333333331</v>
      </c>
      <c r="AH95" s="27">
        <f t="shared" si="7"/>
        <v>1.3933333333333334E-2</v>
      </c>
      <c r="AI95" s="27">
        <f t="shared" si="7"/>
        <v>0.7432333333333333</v>
      </c>
      <c r="AJ95" s="27">
        <f t="shared" si="7"/>
        <v>9.3333333333333324E-3</v>
      </c>
      <c r="AK95" s="27">
        <f t="shared" si="7"/>
        <v>0.93400666666666665</v>
      </c>
      <c r="AL95" s="27">
        <f t="shared" si="7"/>
        <v>3.4466666666666665E-3</v>
      </c>
      <c r="AM95" s="27">
        <f t="shared" si="7"/>
        <v>130.31133333333335</v>
      </c>
      <c r="AN95" s="27">
        <f t="shared" si="7"/>
        <v>214.52</v>
      </c>
    </row>
    <row r="96" spans="5:40" x14ac:dyDescent="0.25">
      <c r="AB96" s="99" t="s">
        <v>3</v>
      </c>
      <c r="AC96" s="27">
        <f>AC72</f>
        <v>0.85486000000000006</v>
      </c>
      <c r="AD96" s="27">
        <f t="shared" ref="AD96:AN96" si="8">AD72</f>
        <v>5.9133333333333321E-3</v>
      </c>
      <c r="AE96" s="27">
        <f t="shared" si="8"/>
        <v>0.75305333333333324</v>
      </c>
      <c r="AF96" s="27">
        <f t="shared" si="8"/>
        <v>1.5133333333333332E-2</v>
      </c>
      <c r="AG96" s="27">
        <f t="shared" si="8"/>
        <v>0.5651466666666668</v>
      </c>
      <c r="AH96" s="27">
        <f t="shared" si="8"/>
        <v>2.0486666666666663E-2</v>
      </c>
      <c r="AI96" s="27">
        <f t="shared" si="8"/>
        <v>0.63308666666666669</v>
      </c>
      <c r="AJ96" s="27">
        <f t="shared" si="8"/>
        <v>1.5559999999999999E-2</v>
      </c>
      <c r="AK96" s="27">
        <f t="shared" si="8"/>
        <v>0.87818666666666667</v>
      </c>
      <c r="AL96" s="27">
        <f t="shared" si="8"/>
        <v>6.2399999999999999E-3</v>
      </c>
      <c r="AM96" s="27">
        <f t="shared" si="8"/>
        <v>192.60533333333333</v>
      </c>
      <c r="AN96" s="27">
        <f t="shared" si="8"/>
        <v>193.32</v>
      </c>
    </row>
    <row r="97" spans="28:40" x14ac:dyDescent="0.25">
      <c r="AB97" s="99" t="s">
        <v>25</v>
      </c>
      <c r="AC97" s="27">
        <f>AC89</f>
        <v>0.90680666666666665</v>
      </c>
      <c r="AD97" s="27">
        <f t="shared" ref="AD97:AN97" si="9">AD89</f>
        <v>4.926666666666666E-3</v>
      </c>
      <c r="AE97" s="27">
        <f t="shared" si="9"/>
        <v>0.81294</v>
      </c>
      <c r="AF97" s="27">
        <f t="shared" si="9"/>
        <v>1.3666666666666666E-2</v>
      </c>
      <c r="AG97" s="27">
        <f t="shared" si="9"/>
        <v>0.77835999999999994</v>
      </c>
      <c r="AH97" s="27">
        <f t="shared" si="9"/>
        <v>1.6459999999999999E-2</v>
      </c>
      <c r="AI97" s="27">
        <f t="shared" si="9"/>
        <v>0.77605999999999997</v>
      </c>
      <c r="AJ97" s="27">
        <f t="shared" si="9"/>
        <v>1.1526666666666666E-2</v>
      </c>
      <c r="AK97" s="27">
        <f t="shared" si="9"/>
        <v>0.94510666666666654</v>
      </c>
      <c r="AL97" s="27">
        <f t="shared" si="9"/>
        <v>3.486666666666667E-3</v>
      </c>
      <c r="AM97" s="27">
        <f t="shared" si="9"/>
        <v>458.13933333333335</v>
      </c>
      <c r="AN97" s="27">
        <f t="shared" si="9"/>
        <v>22.013333333333335</v>
      </c>
    </row>
  </sheetData>
  <mergeCells count="41">
    <mergeCell ref="W4:X4"/>
    <mergeCell ref="E5:E29"/>
    <mergeCell ref="F5:F9"/>
    <mergeCell ref="Z5:Z19"/>
    <mergeCell ref="AA5:AA9"/>
    <mergeCell ref="F10:F14"/>
    <mergeCell ref="AA10:AA14"/>
    <mergeCell ref="F15:F19"/>
    <mergeCell ref="AA15:AA19"/>
    <mergeCell ref="F20:F24"/>
    <mergeCell ref="E31:E55"/>
    <mergeCell ref="F31:F35"/>
    <mergeCell ref="AA33:AA37"/>
    <mergeCell ref="F36:F40"/>
    <mergeCell ref="Z40:Z54"/>
    <mergeCell ref="Z23:Z37"/>
    <mergeCell ref="AA23:AA27"/>
    <mergeCell ref="F25:F29"/>
    <mergeCell ref="AR25:AU25"/>
    <mergeCell ref="AA28:AA32"/>
    <mergeCell ref="AA40:AA44"/>
    <mergeCell ref="F41:F45"/>
    <mergeCell ref="AR42:AT42"/>
    <mergeCell ref="AA45:AA49"/>
    <mergeCell ref="F46:F50"/>
    <mergeCell ref="AA50:AA54"/>
    <mergeCell ref="F51:F55"/>
    <mergeCell ref="AA74:AA78"/>
    <mergeCell ref="F77:F81"/>
    <mergeCell ref="AA79:AA83"/>
    <mergeCell ref="AA84:AA88"/>
    <mergeCell ref="E57:E81"/>
    <mergeCell ref="F57:F61"/>
    <mergeCell ref="Z57:Z71"/>
    <mergeCell ref="AA57:AA61"/>
    <mergeCell ref="F62:F66"/>
    <mergeCell ref="AA62:AA66"/>
    <mergeCell ref="F67:F71"/>
    <mergeCell ref="AA67:AA71"/>
    <mergeCell ref="F72:F76"/>
    <mergeCell ref="Z74:Z8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BEA6-19FE-4584-B8F6-3EADF3E3875D}">
  <sheetPr>
    <pageSetUpPr fitToPage="1"/>
  </sheetPr>
  <dimension ref="E2:BX123"/>
  <sheetViews>
    <sheetView tabSelected="1" topLeftCell="AO16" zoomScale="70" zoomScaleNormal="70" workbookViewId="0">
      <selection activeCell="AU49" sqref="AU49"/>
    </sheetView>
  </sheetViews>
  <sheetFormatPr baseColWidth="10" defaultRowHeight="15" x14ac:dyDescent="0.25"/>
  <cols>
    <col min="4" max="4" width="16.28515625" customWidth="1"/>
    <col min="5" max="5" width="23.42578125" customWidth="1"/>
    <col min="6" max="6" width="14.85546875" bestFit="1" customWidth="1"/>
    <col min="7" max="7" width="24.85546875" bestFit="1" customWidth="1"/>
    <col min="8" max="8" width="17.85546875" bestFit="1" customWidth="1"/>
    <col min="9" max="9" width="17.85546875" customWidth="1"/>
    <col min="10" max="10" width="17.5703125" bestFit="1" customWidth="1"/>
    <col min="11" max="11" width="17.5703125" customWidth="1"/>
    <col min="12" max="12" width="17.85546875" bestFit="1" customWidth="1"/>
    <col min="13" max="13" width="17.85546875" customWidth="1"/>
    <col min="14" max="14" width="17.5703125" bestFit="1" customWidth="1"/>
    <col min="15" max="15" width="17.5703125" customWidth="1"/>
    <col min="16" max="16" width="21.28515625" bestFit="1" customWidth="1"/>
    <col min="17" max="17" width="21.28515625" customWidth="1"/>
    <col min="19" max="19" width="17.28515625" customWidth="1"/>
    <col min="27" max="27" width="13.7109375" customWidth="1"/>
    <col min="28" max="28" width="27" customWidth="1"/>
    <col min="29" max="29" width="17.85546875" bestFit="1" customWidth="1"/>
    <col min="30" max="30" width="17.85546875" customWidth="1"/>
    <col min="31" max="31" width="17.5703125" bestFit="1" customWidth="1"/>
    <col min="32" max="32" width="17.5703125" customWidth="1"/>
    <col min="33" max="33" width="17.85546875" bestFit="1" customWidth="1"/>
    <col min="34" max="34" width="17.85546875" customWidth="1"/>
    <col min="35" max="35" width="17.85546875" bestFit="1" customWidth="1"/>
    <col min="36" max="36" width="17.85546875" customWidth="1"/>
    <col min="37" max="37" width="17.85546875" bestFit="1" customWidth="1"/>
    <col min="38" max="38" width="17.85546875" customWidth="1"/>
    <col min="39" max="39" width="11.140625" customWidth="1"/>
    <col min="40" max="40" width="19.28515625" bestFit="1" customWidth="1"/>
    <col min="42" max="42" width="20.42578125" customWidth="1"/>
    <col min="43" max="43" width="14.28515625" customWidth="1"/>
    <col min="44" max="44" width="14.85546875" customWidth="1"/>
    <col min="45" max="45" width="15.28515625" customWidth="1"/>
  </cols>
  <sheetData>
    <row r="2" spans="5:76" x14ac:dyDescent="0.25">
      <c r="BH2" s="26"/>
      <c r="BI2" s="26"/>
      <c r="BJ2" s="26"/>
    </row>
    <row r="3" spans="5:76" ht="15.75" thickBot="1" x14ac:dyDescent="0.3">
      <c r="AR3" s="2" t="s">
        <v>10</v>
      </c>
      <c r="AT3" s="33"/>
      <c r="AY3" s="2" t="s">
        <v>10</v>
      </c>
      <c r="BA3" s="35"/>
      <c r="BB3" s="26"/>
      <c r="BC3" s="26"/>
      <c r="BF3" s="2" t="s">
        <v>10</v>
      </c>
      <c r="BH3" s="35"/>
      <c r="BI3" s="26"/>
      <c r="BJ3" s="26"/>
      <c r="BM3" s="2" t="s">
        <v>10</v>
      </c>
      <c r="BO3" s="35"/>
      <c r="BP3" s="26"/>
      <c r="BQ3" s="26"/>
      <c r="BS3" s="2" t="s">
        <v>10</v>
      </c>
      <c r="BU3" s="35"/>
      <c r="BW3" s="2" t="s">
        <v>10</v>
      </c>
    </row>
    <row r="4" spans="5:76" ht="15.75" thickBot="1" x14ac:dyDescent="0.3">
      <c r="H4" s="57" t="s">
        <v>10</v>
      </c>
      <c r="I4" s="80" t="s">
        <v>418</v>
      </c>
      <c r="J4" s="37" t="s">
        <v>11</v>
      </c>
      <c r="K4" s="37" t="s">
        <v>419</v>
      </c>
      <c r="L4" s="37" t="s">
        <v>12</v>
      </c>
      <c r="M4" s="37" t="s">
        <v>420</v>
      </c>
      <c r="N4" s="37" t="s">
        <v>13</v>
      </c>
      <c r="O4" s="37" t="s">
        <v>421</v>
      </c>
      <c r="P4" s="37" t="s">
        <v>14</v>
      </c>
      <c r="Q4" s="37" t="s">
        <v>422</v>
      </c>
      <c r="R4" s="58" t="s">
        <v>66</v>
      </c>
      <c r="S4" s="59" t="s">
        <v>67</v>
      </c>
      <c r="T4" s="38"/>
      <c r="W4" s="145"/>
      <c r="X4" s="145"/>
      <c r="AC4" s="2" t="s">
        <v>10</v>
      </c>
      <c r="AD4" s="2" t="s">
        <v>418</v>
      </c>
      <c r="AE4" s="2" t="s">
        <v>11</v>
      </c>
      <c r="AF4" s="2" t="s">
        <v>419</v>
      </c>
      <c r="AG4" s="2" t="s">
        <v>12</v>
      </c>
      <c r="AH4" s="2" t="s">
        <v>420</v>
      </c>
      <c r="AI4" s="2" t="s">
        <v>13</v>
      </c>
      <c r="AJ4" s="2" t="s">
        <v>421</v>
      </c>
      <c r="AK4" s="2" t="s">
        <v>14</v>
      </c>
      <c r="AL4" s="2" t="s">
        <v>422</v>
      </c>
      <c r="AM4" s="4" t="s">
        <v>66</v>
      </c>
      <c r="AN4" s="4" t="s">
        <v>67</v>
      </c>
      <c r="AQ4" t="s">
        <v>26</v>
      </c>
      <c r="AR4" s="6" cm="1">
        <f t="array" ref="AR4:AR18">AC5:AC19</f>
        <v>0.93289999999999995</v>
      </c>
      <c r="AS4" s="6" cm="1">
        <f t="array" ref="AS4:AS18">AD5:AD19</f>
        <v>1.6999999999999999E-3</v>
      </c>
      <c r="AX4" t="s">
        <v>27</v>
      </c>
      <c r="AY4" s="8" cm="1">
        <f t="array" ref="AY4:AZ18">AC23:AD37</f>
        <v>0.9325</v>
      </c>
      <c r="AZ4">
        <v>1.5E-3</v>
      </c>
      <c r="BA4" s="26"/>
      <c r="BB4" s="26"/>
      <c r="BC4" s="26"/>
      <c r="BE4" t="s">
        <v>2</v>
      </c>
      <c r="BF4" s="6" cm="1">
        <f t="array" ref="BF4:BG18">AC41:AD55</f>
        <v>0.89890000000000003</v>
      </c>
      <c r="BG4">
        <v>2.2000000000000001E-3</v>
      </c>
      <c r="BH4" s="26"/>
      <c r="BI4" s="26"/>
      <c r="BJ4" s="26"/>
      <c r="BL4" t="s">
        <v>3</v>
      </c>
      <c r="BM4" s="8" cm="1">
        <f t="array" ref="BM4:BN18">AC59:AD73</f>
        <v>0.84009999999999996</v>
      </c>
      <c r="BN4">
        <v>3.3999999999999998E-3</v>
      </c>
      <c r="BO4" s="26"/>
      <c r="BP4" s="26"/>
      <c r="BQ4" s="26"/>
      <c r="BR4" t="s">
        <v>433</v>
      </c>
      <c r="BS4" s="6" cm="1">
        <f t="array" ref="BS4:BT18">AC77:AD91</f>
        <v>0.93120000000000003</v>
      </c>
      <c r="BT4">
        <v>2.7000000000000001E-3</v>
      </c>
      <c r="BU4" s="26"/>
      <c r="BV4" t="s">
        <v>448</v>
      </c>
      <c r="BW4" s="6" cm="1">
        <f t="array" ref="BW4:BX18">AC95:AD109</f>
        <v>0.99370000000000003</v>
      </c>
      <c r="BX4">
        <v>6.9999999999999999E-4</v>
      </c>
    </row>
    <row r="5" spans="5:76" ht="15" customHeight="1" thickBot="1" x14ac:dyDescent="0.3">
      <c r="E5" s="170" t="s">
        <v>15</v>
      </c>
      <c r="F5" s="146" t="s">
        <v>0</v>
      </c>
      <c r="G5" s="44" t="s">
        <v>5</v>
      </c>
      <c r="H5" s="133">
        <v>0.93289999999999995</v>
      </c>
      <c r="I5" s="134">
        <v>1.6999999999999999E-3</v>
      </c>
      <c r="J5" s="135">
        <v>0.88970000000000005</v>
      </c>
      <c r="K5" s="135">
        <v>6.7000000000000002E-3</v>
      </c>
      <c r="L5" s="135">
        <v>0.83730000000000004</v>
      </c>
      <c r="M5" s="135">
        <v>6.4000000000000003E-3</v>
      </c>
      <c r="N5" s="135">
        <v>0.86270000000000002</v>
      </c>
      <c r="O5" s="135">
        <v>3.5000000000000001E-3</v>
      </c>
      <c r="P5" s="135">
        <v>0.96660000000000001</v>
      </c>
      <c r="Q5" s="135">
        <v>1.9E-3</v>
      </c>
      <c r="R5" s="135">
        <v>14.02</v>
      </c>
      <c r="S5" s="136">
        <v>44.3</v>
      </c>
      <c r="Z5" s="149" t="s">
        <v>0</v>
      </c>
      <c r="AA5" s="152" t="s">
        <v>20</v>
      </c>
      <c r="AB5" s="44" t="s">
        <v>5</v>
      </c>
      <c r="AC5" s="60" cm="1">
        <f t="array" ref="AC5:AN9">H5:S9</f>
        <v>0.93289999999999995</v>
      </c>
      <c r="AD5" s="81">
        <v>1.6999999999999999E-3</v>
      </c>
      <c r="AE5" s="6">
        <v>0.88970000000000005</v>
      </c>
      <c r="AF5" s="6">
        <v>6.7000000000000002E-3</v>
      </c>
      <c r="AG5" s="6">
        <v>0.83730000000000004</v>
      </c>
      <c r="AH5" s="6">
        <v>6.4000000000000003E-3</v>
      </c>
      <c r="AI5" s="6">
        <v>0.86270000000000002</v>
      </c>
      <c r="AJ5" s="6">
        <v>3.5000000000000001E-3</v>
      </c>
      <c r="AK5" s="6">
        <v>0.96660000000000001</v>
      </c>
      <c r="AL5" s="6">
        <v>1.9E-3</v>
      </c>
      <c r="AM5" s="6">
        <v>14.02</v>
      </c>
      <c r="AN5" s="7">
        <v>44.3</v>
      </c>
      <c r="AR5" s="6">
        <v>0.9153</v>
      </c>
      <c r="AS5" s="6">
        <v>2.5000000000000001E-3</v>
      </c>
      <c r="AY5" s="8">
        <v>0.94889999999999997</v>
      </c>
      <c r="AZ5">
        <v>1.6000000000000001E-3</v>
      </c>
      <c r="BA5" s="26"/>
      <c r="BB5" s="26"/>
      <c r="BC5" s="26"/>
      <c r="BF5" s="8">
        <v>0.9083</v>
      </c>
      <c r="BG5">
        <v>2.3E-3</v>
      </c>
      <c r="BH5" s="26"/>
      <c r="BI5" s="26"/>
      <c r="BJ5" s="26"/>
      <c r="BM5" s="8">
        <v>0.8589</v>
      </c>
      <c r="BN5">
        <v>3.3999999999999998E-3</v>
      </c>
      <c r="BO5" s="26"/>
      <c r="BP5" s="26"/>
      <c r="BQ5" s="26"/>
      <c r="BS5" s="8">
        <v>0.9325</v>
      </c>
      <c r="BT5">
        <v>1.8E-3</v>
      </c>
      <c r="BU5" s="26"/>
      <c r="BW5" s="8">
        <v>0.99329999999999996</v>
      </c>
      <c r="BX5">
        <v>8.0000000000000004E-4</v>
      </c>
    </row>
    <row r="6" spans="5:76" ht="15.75" thickBot="1" x14ac:dyDescent="0.3">
      <c r="E6" s="171"/>
      <c r="F6" s="147"/>
      <c r="G6" s="45" t="s">
        <v>6</v>
      </c>
      <c r="H6" s="61">
        <v>0.9153</v>
      </c>
      <c r="I6" s="82">
        <v>2.5000000000000001E-3</v>
      </c>
      <c r="J6" s="8">
        <v>0.89429999999999998</v>
      </c>
      <c r="K6" s="8">
        <v>3.8999999999999998E-3</v>
      </c>
      <c r="L6" s="8">
        <v>0.75260000000000005</v>
      </c>
      <c r="M6" s="8">
        <v>9.1999999999999998E-3</v>
      </c>
      <c r="N6" s="8">
        <v>0.81730000000000003</v>
      </c>
      <c r="O6" s="8">
        <v>6.1000000000000004E-3</v>
      </c>
      <c r="P6" s="8">
        <v>0.96730000000000005</v>
      </c>
      <c r="Q6" s="8">
        <v>1.4E-3</v>
      </c>
      <c r="R6" s="8">
        <v>2904.06</v>
      </c>
      <c r="S6" s="9">
        <v>0</v>
      </c>
      <c r="Z6" s="150"/>
      <c r="AA6" s="153"/>
      <c r="AB6" s="45" t="s">
        <v>6</v>
      </c>
      <c r="AC6" s="61">
        <v>0.9153</v>
      </c>
      <c r="AD6" s="82">
        <v>2.5000000000000001E-3</v>
      </c>
      <c r="AE6" s="8">
        <v>0.89429999999999998</v>
      </c>
      <c r="AF6" s="8">
        <v>3.8999999999999998E-3</v>
      </c>
      <c r="AG6" s="8">
        <v>0.75260000000000005</v>
      </c>
      <c r="AH6" s="8">
        <v>9.1999999999999998E-3</v>
      </c>
      <c r="AI6" s="8">
        <v>0.81730000000000003</v>
      </c>
      <c r="AJ6" s="8">
        <v>6.1000000000000004E-3</v>
      </c>
      <c r="AK6" s="8">
        <v>0.96730000000000005</v>
      </c>
      <c r="AL6" s="8">
        <v>1.4E-3</v>
      </c>
      <c r="AM6" s="8">
        <v>2904.06</v>
      </c>
      <c r="AN6" s="9">
        <v>0</v>
      </c>
      <c r="AR6" s="6">
        <v>0.92949999999999999</v>
      </c>
      <c r="AS6" s="6">
        <v>1.8E-3</v>
      </c>
      <c r="AY6" s="8">
        <v>0.92530000000000001</v>
      </c>
      <c r="AZ6">
        <v>8.9999999999999998E-4</v>
      </c>
      <c r="BA6" s="26"/>
      <c r="BB6" s="26"/>
      <c r="BC6" s="26"/>
      <c r="BF6" s="8">
        <v>0.9133</v>
      </c>
      <c r="BG6">
        <v>3.7000000000000002E-3</v>
      </c>
      <c r="BH6" s="26"/>
      <c r="BI6" s="26"/>
      <c r="BJ6" s="26"/>
      <c r="BM6" s="8">
        <v>0.82310000000000005</v>
      </c>
      <c r="BN6">
        <v>2.5999999999999999E-3</v>
      </c>
      <c r="BO6" s="26"/>
      <c r="BP6" s="26"/>
      <c r="BQ6" s="26"/>
      <c r="BS6" s="8">
        <v>0.92230000000000001</v>
      </c>
      <c r="BT6">
        <v>4.1000000000000003E-3</v>
      </c>
      <c r="BU6" s="26"/>
      <c r="BW6" s="8">
        <v>0.99339999999999995</v>
      </c>
      <c r="BX6">
        <v>5.0000000000000001E-4</v>
      </c>
    </row>
    <row r="7" spans="5:76" ht="15.75" thickBot="1" x14ac:dyDescent="0.3">
      <c r="E7" s="171"/>
      <c r="F7" s="147"/>
      <c r="G7" s="45" t="s">
        <v>7</v>
      </c>
      <c r="H7" s="61">
        <v>0.92949999999999999</v>
      </c>
      <c r="I7" s="82">
        <v>1.8E-3</v>
      </c>
      <c r="J7" s="8">
        <v>0.94110000000000005</v>
      </c>
      <c r="K7" s="8">
        <v>3.7000000000000002E-3</v>
      </c>
      <c r="L7" s="8">
        <v>0.76800000000000002</v>
      </c>
      <c r="M7" s="8">
        <v>8.9999999999999993E-3</v>
      </c>
      <c r="N7" s="8">
        <v>0.8458</v>
      </c>
      <c r="O7" s="8">
        <v>4.7000000000000002E-3</v>
      </c>
      <c r="P7" s="8">
        <v>0.97629999999999995</v>
      </c>
      <c r="Q7" s="8">
        <v>1.1999999999999999E-3</v>
      </c>
      <c r="R7" s="8">
        <v>17.420000000000002</v>
      </c>
      <c r="S7" s="9">
        <v>384.9</v>
      </c>
      <c r="Z7" s="150"/>
      <c r="AA7" s="153"/>
      <c r="AB7" s="45" t="s">
        <v>7</v>
      </c>
      <c r="AC7" s="61">
        <v>0.92949999999999999</v>
      </c>
      <c r="AD7" s="82">
        <v>1.8E-3</v>
      </c>
      <c r="AE7" s="8">
        <v>0.94110000000000005</v>
      </c>
      <c r="AF7" s="8">
        <v>3.7000000000000002E-3</v>
      </c>
      <c r="AG7" s="8">
        <v>0.76800000000000002</v>
      </c>
      <c r="AH7" s="8">
        <v>8.9999999999999993E-3</v>
      </c>
      <c r="AI7" s="8">
        <v>0.8458</v>
      </c>
      <c r="AJ7" s="8">
        <v>4.7000000000000002E-3</v>
      </c>
      <c r="AK7" s="8">
        <v>0.97629999999999995</v>
      </c>
      <c r="AL7" s="8">
        <v>1.1999999999999999E-3</v>
      </c>
      <c r="AM7" s="8">
        <v>17.420000000000002</v>
      </c>
      <c r="AN7" s="9">
        <v>384.9</v>
      </c>
      <c r="AR7" s="6">
        <v>0.91930000000000001</v>
      </c>
      <c r="AS7" s="6">
        <v>1.6000000000000001E-3</v>
      </c>
      <c r="AY7" s="8">
        <v>0.8619</v>
      </c>
      <c r="AZ7">
        <v>1.8E-3</v>
      </c>
      <c r="BA7" s="26"/>
      <c r="BB7" s="26"/>
      <c r="BC7" s="26"/>
      <c r="BF7" s="8">
        <v>0.60309999999999997</v>
      </c>
      <c r="BG7">
        <v>1.6000000000000001E-3</v>
      </c>
      <c r="BH7" s="26"/>
      <c r="BI7" s="26"/>
      <c r="BJ7" s="26"/>
      <c r="BM7" s="8">
        <v>0.70530000000000004</v>
      </c>
      <c r="BN7">
        <v>3.5999999999999999E-3</v>
      </c>
      <c r="BO7" s="26"/>
      <c r="BP7" s="26"/>
      <c r="BQ7" s="26"/>
      <c r="BS7" s="8">
        <v>0.73260000000000003</v>
      </c>
      <c r="BT7">
        <v>2E-3</v>
      </c>
      <c r="BU7" s="26"/>
      <c r="BW7" s="8">
        <v>0.99139999999999995</v>
      </c>
      <c r="BX7">
        <v>5.9999999999999995E-4</v>
      </c>
    </row>
    <row r="8" spans="5:76" ht="15.75" thickBot="1" x14ac:dyDescent="0.3">
      <c r="E8" s="171"/>
      <c r="F8" s="147"/>
      <c r="G8" s="45" t="s">
        <v>8</v>
      </c>
      <c r="H8" s="61">
        <v>0.91930000000000001</v>
      </c>
      <c r="I8" s="82">
        <v>1.6000000000000001E-3</v>
      </c>
      <c r="J8" s="8">
        <v>0.87480000000000002</v>
      </c>
      <c r="K8" s="8">
        <v>5.4999999999999997E-3</v>
      </c>
      <c r="L8" s="8">
        <v>0.79290000000000005</v>
      </c>
      <c r="M8" s="8">
        <v>5.8999999999999999E-3</v>
      </c>
      <c r="N8" s="8">
        <v>0.83189999999999997</v>
      </c>
      <c r="O8" s="8">
        <v>3.3999999999999998E-3</v>
      </c>
      <c r="P8" s="8">
        <v>0.94779999999999998</v>
      </c>
      <c r="Q8" s="8">
        <v>1.6000000000000001E-3</v>
      </c>
      <c r="R8" s="8">
        <v>3.54</v>
      </c>
      <c r="S8" s="9">
        <v>2.5</v>
      </c>
      <c r="Z8" s="150"/>
      <c r="AA8" s="153"/>
      <c r="AB8" s="45" t="s">
        <v>8</v>
      </c>
      <c r="AC8" s="61">
        <v>0.91930000000000001</v>
      </c>
      <c r="AD8" s="82">
        <v>1.6000000000000001E-3</v>
      </c>
      <c r="AE8" s="8">
        <v>0.87480000000000002</v>
      </c>
      <c r="AF8" s="8">
        <v>5.4999999999999997E-3</v>
      </c>
      <c r="AG8" s="8">
        <v>0.79290000000000005</v>
      </c>
      <c r="AH8" s="8">
        <v>5.8999999999999999E-3</v>
      </c>
      <c r="AI8" s="8">
        <v>0.83189999999999997</v>
      </c>
      <c r="AJ8" s="8">
        <v>3.3999999999999998E-3</v>
      </c>
      <c r="AK8" s="8">
        <v>0.94779999999999998</v>
      </c>
      <c r="AL8" s="8">
        <v>1.6000000000000001E-3</v>
      </c>
      <c r="AM8" s="8">
        <v>3.54</v>
      </c>
      <c r="AN8" s="9">
        <v>2.5</v>
      </c>
      <c r="AR8" s="6">
        <v>0.94379999999999997</v>
      </c>
      <c r="AS8" s="6">
        <v>1.1000000000000001E-3</v>
      </c>
      <c r="AY8" s="8">
        <v>0.93779999999999997</v>
      </c>
      <c r="AZ8">
        <v>2.3E-3</v>
      </c>
      <c r="BA8" s="26"/>
      <c r="BB8" s="26"/>
      <c r="BC8" s="26"/>
      <c r="BF8" s="10">
        <v>0.91869999999999996</v>
      </c>
      <c r="BG8">
        <v>1.4E-3</v>
      </c>
      <c r="BH8" s="26"/>
      <c r="BI8" s="26"/>
      <c r="BJ8" s="26"/>
      <c r="BM8" s="8">
        <v>0.86429999999999996</v>
      </c>
      <c r="BN8">
        <v>3.5000000000000001E-3</v>
      </c>
      <c r="BO8" s="26"/>
      <c r="BP8" s="26"/>
      <c r="BQ8" s="26"/>
      <c r="BS8" s="10">
        <v>0.9405</v>
      </c>
      <c r="BT8">
        <v>1.1999999999999999E-3</v>
      </c>
      <c r="BU8" s="26"/>
      <c r="BW8" s="10">
        <v>0.99339999999999995</v>
      </c>
      <c r="BX8">
        <v>1.1999999999999999E-3</v>
      </c>
    </row>
    <row r="9" spans="5:76" ht="15.75" thickBot="1" x14ac:dyDescent="0.3">
      <c r="E9" s="171"/>
      <c r="F9" s="148"/>
      <c r="G9" s="46" t="s">
        <v>9</v>
      </c>
      <c r="H9" s="70">
        <v>0.94379999999999997</v>
      </c>
      <c r="I9" s="83">
        <v>1.1000000000000001E-3</v>
      </c>
      <c r="J9" s="10">
        <v>0.8982</v>
      </c>
      <c r="K9" s="10">
        <v>6.0000000000000001E-3</v>
      </c>
      <c r="L9" s="10">
        <v>0.87629999999999997</v>
      </c>
      <c r="M9" s="10">
        <v>9.5999999999999992E-3</v>
      </c>
      <c r="N9" s="22">
        <v>0.88700000000000001</v>
      </c>
      <c r="O9" s="10">
        <v>2.8999999999999998E-3</v>
      </c>
      <c r="P9" s="10">
        <v>0.96679999999999999</v>
      </c>
      <c r="Q9" s="10">
        <v>3.3E-3</v>
      </c>
      <c r="R9" s="10">
        <v>5107.6099999999997</v>
      </c>
      <c r="S9" s="11">
        <v>166.1</v>
      </c>
      <c r="Z9" s="150"/>
      <c r="AA9" s="153"/>
      <c r="AB9" s="46" t="s">
        <v>9</v>
      </c>
      <c r="AC9" s="62">
        <v>0.94379999999999997</v>
      </c>
      <c r="AD9" s="83">
        <v>1.1000000000000001E-3</v>
      </c>
      <c r="AE9" s="10">
        <v>0.8982</v>
      </c>
      <c r="AF9" s="10">
        <v>6.0000000000000001E-3</v>
      </c>
      <c r="AG9" s="10">
        <v>0.87629999999999997</v>
      </c>
      <c r="AH9" s="10">
        <v>9.5999999999999992E-3</v>
      </c>
      <c r="AI9" s="10">
        <v>0.88700000000000001</v>
      </c>
      <c r="AJ9" s="10">
        <v>2.8999999999999998E-3</v>
      </c>
      <c r="AK9" s="10">
        <v>0.96679999999999999</v>
      </c>
      <c r="AL9" s="10">
        <v>3.3E-3</v>
      </c>
      <c r="AM9" s="10">
        <v>5107.6099999999997</v>
      </c>
      <c r="AN9" s="11">
        <v>166.1</v>
      </c>
      <c r="AR9" s="12">
        <v>0.95440000000000003</v>
      </c>
      <c r="AS9" s="12">
        <v>2.8E-3</v>
      </c>
      <c r="AY9" s="14">
        <v>0.93030000000000002</v>
      </c>
      <c r="AZ9">
        <v>3.7000000000000002E-3</v>
      </c>
      <c r="BA9" s="26"/>
      <c r="BB9" s="26"/>
      <c r="BC9" s="26"/>
      <c r="BF9" s="12">
        <v>0.88700000000000001</v>
      </c>
      <c r="BG9">
        <v>4.7000000000000002E-3</v>
      </c>
      <c r="BH9" s="26"/>
      <c r="BI9" s="26"/>
      <c r="BJ9" s="26"/>
      <c r="BM9" s="14">
        <v>0.8871</v>
      </c>
      <c r="BN9">
        <v>4.7999999999999996E-3</v>
      </c>
      <c r="BO9" s="26"/>
      <c r="BP9" s="26"/>
      <c r="BQ9" s="26"/>
      <c r="BS9" s="12">
        <v>0.90459999999999996</v>
      </c>
      <c r="BT9">
        <v>2.8999999999999998E-3</v>
      </c>
      <c r="BU9" s="26"/>
      <c r="BW9" s="12">
        <v>0.9919</v>
      </c>
      <c r="BX9">
        <v>2.0999999999999999E-3</v>
      </c>
    </row>
    <row r="10" spans="5:76" ht="15" customHeight="1" thickBot="1" x14ac:dyDescent="0.3">
      <c r="E10" s="171"/>
      <c r="F10" s="154" t="s">
        <v>1</v>
      </c>
      <c r="G10" s="47" t="s">
        <v>5</v>
      </c>
      <c r="H10" s="63">
        <v>0.9325</v>
      </c>
      <c r="I10" s="84">
        <v>1.5E-3</v>
      </c>
      <c r="J10" s="3">
        <v>0.89910000000000001</v>
      </c>
      <c r="K10" s="3">
        <v>6.8999999999999999E-3</v>
      </c>
      <c r="L10" s="3">
        <v>0.82469999999999999</v>
      </c>
      <c r="M10" s="3">
        <v>5.8999999999999999E-3</v>
      </c>
      <c r="N10" s="3">
        <v>0.86029999999999995</v>
      </c>
      <c r="O10" s="3">
        <v>3.0999999999999999E-3</v>
      </c>
      <c r="P10" s="3">
        <v>0.97570000000000001</v>
      </c>
      <c r="Q10" s="3">
        <v>8.0000000000000004E-4</v>
      </c>
      <c r="R10" s="3">
        <v>4.66</v>
      </c>
      <c r="S10" s="64">
        <v>43.6</v>
      </c>
      <c r="Z10" s="150"/>
      <c r="AA10" s="153" t="s">
        <v>21</v>
      </c>
      <c r="AB10" s="51" t="s">
        <v>5</v>
      </c>
      <c r="AC10" s="75" cm="1">
        <f t="array" ref="AC10:AN14">H36:S40</f>
        <v>0.95440000000000003</v>
      </c>
      <c r="AD10" s="92">
        <v>2.8E-3</v>
      </c>
      <c r="AE10" s="12">
        <v>0.85529999999999995</v>
      </c>
      <c r="AF10" s="12">
        <v>5.1999999999999998E-3</v>
      </c>
      <c r="AG10" s="12">
        <v>0.87690000000000001</v>
      </c>
      <c r="AH10" s="12">
        <v>1.38E-2</v>
      </c>
      <c r="AI10" s="12">
        <v>0.8659</v>
      </c>
      <c r="AJ10" s="12">
        <v>8.8000000000000005E-3</v>
      </c>
      <c r="AK10" s="12">
        <v>0.98219999999999996</v>
      </c>
      <c r="AL10" s="12">
        <v>2.8999999999999998E-3</v>
      </c>
      <c r="AM10" s="12">
        <v>2.2000000000000002</v>
      </c>
      <c r="AN10" s="13">
        <v>24</v>
      </c>
      <c r="AR10" s="12">
        <v>0.94610000000000005</v>
      </c>
      <c r="AS10" s="12">
        <v>3.0000000000000001E-3</v>
      </c>
      <c r="AY10" s="14">
        <v>0.94130000000000003</v>
      </c>
      <c r="AZ10">
        <v>3.3E-3</v>
      </c>
      <c r="BA10" s="26"/>
      <c r="BB10" s="26"/>
      <c r="BC10" s="26"/>
      <c r="BF10" s="14">
        <v>0.8659</v>
      </c>
      <c r="BG10">
        <v>1.8E-3</v>
      </c>
      <c r="BH10" s="26"/>
      <c r="BI10" s="26"/>
      <c r="BJ10" s="26"/>
      <c r="BM10" s="14">
        <v>0.90110000000000001</v>
      </c>
      <c r="BN10">
        <v>2.5000000000000001E-3</v>
      </c>
      <c r="BO10" s="26"/>
      <c r="BP10" s="26"/>
      <c r="BQ10" s="26"/>
      <c r="BS10" s="14">
        <v>0.90259999999999996</v>
      </c>
      <c r="BT10">
        <v>3.8999999999999998E-3</v>
      </c>
      <c r="BU10" s="26"/>
      <c r="BW10" s="14">
        <v>0.99180000000000001</v>
      </c>
      <c r="BX10">
        <v>1.9E-3</v>
      </c>
    </row>
    <row r="11" spans="5:76" ht="15.75" thickBot="1" x14ac:dyDescent="0.3">
      <c r="E11" s="171"/>
      <c r="F11" s="154"/>
      <c r="G11" s="48" t="s">
        <v>6</v>
      </c>
      <c r="H11" s="65">
        <v>0.94889999999999997</v>
      </c>
      <c r="I11" s="86">
        <v>1.6000000000000001E-3</v>
      </c>
      <c r="J11" s="1">
        <v>0.91490000000000005</v>
      </c>
      <c r="K11" s="1">
        <v>4.7999999999999996E-3</v>
      </c>
      <c r="L11" s="1">
        <v>0.87860000000000005</v>
      </c>
      <c r="M11" s="1">
        <v>5.0000000000000001E-3</v>
      </c>
      <c r="N11" s="20">
        <v>0.89639999999999997</v>
      </c>
      <c r="O11" s="1">
        <v>3.2000000000000002E-3</v>
      </c>
      <c r="P11" s="1">
        <v>0.98350000000000004</v>
      </c>
      <c r="Q11" s="1">
        <v>8.9999999999999998E-4</v>
      </c>
      <c r="R11" s="1">
        <v>4506.62</v>
      </c>
      <c r="S11" s="41">
        <v>1.1000000000000001</v>
      </c>
      <c r="Z11" s="150"/>
      <c r="AA11" s="153"/>
      <c r="AB11" s="52" t="s">
        <v>6</v>
      </c>
      <c r="AC11" s="69">
        <v>0.94610000000000005</v>
      </c>
      <c r="AD11" s="90">
        <v>3.0000000000000001E-3</v>
      </c>
      <c r="AE11" s="14">
        <v>0.84630000000000005</v>
      </c>
      <c r="AF11" s="14">
        <v>7.4999999999999997E-3</v>
      </c>
      <c r="AG11" s="14">
        <v>0.83</v>
      </c>
      <c r="AH11" s="14">
        <v>1.21E-2</v>
      </c>
      <c r="AI11" s="14">
        <v>0.83809999999999996</v>
      </c>
      <c r="AJ11" s="14">
        <v>9.4000000000000004E-3</v>
      </c>
      <c r="AK11" s="14">
        <v>0.97799999999999998</v>
      </c>
      <c r="AL11" s="14">
        <v>2.7000000000000001E-3</v>
      </c>
      <c r="AM11" s="14">
        <v>389.21</v>
      </c>
      <c r="AN11" s="15">
        <v>15.2</v>
      </c>
      <c r="AR11" s="12">
        <v>0.91790000000000005</v>
      </c>
      <c r="AS11" s="12">
        <v>2.3999999999999998E-3</v>
      </c>
      <c r="AY11" s="14">
        <v>0.90159999999999996</v>
      </c>
      <c r="AZ11">
        <v>1.6000000000000001E-3</v>
      </c>
      <c r="BA11" s="26"/>
      <c r="BB11" s="26"/>
      <c r="BC11" s="26"/>
      <c r="BF11" s="14">
        <v>0.87919999999999998</v>
      </c>
      <c r="BG11">
        <v>4.5999999999999999E-3</v>
      </c>
      <c r="BH11" s="26"/>
      <c r="BI11" s="26"/>
      <c r="BJ11" s="26"/>
      <c r="BM11" s="14">
        <v>0.87029999999999996</v>
      </c>
      <c r="BN11">
        <v>2.2000000000000001E-3</v>
      </c>
      <c r="BO11" s="26"/>
      <c r="BP11" s="26"/>
      <c r="BQ11" s="26"/>
      <c r="BS11" s="14">
        <v>0.86750000000000005</v>
      </c>
      <c r="BT11">
        <v>4.1999999999999997E-3</v>
      </c>
      <c r="BU11" s="26"/>
      <c r="BW11" s="14">
        <v>0.99150000000000005</v>
      </c>
      <c r="BX11">
        <v>1.6999999999999999E-3</v>
      </c>
    </row>
    <row r="12" spans="5:76" ht="15.75" thickBot="1" x14ac:dyDescent="0.3">
      <c r="E12" s="171"/>
      <c r="F12" s="154"/>
      <c r="G12" s="48" t="s">
        <v>7</v>
      </c>
      <c r="H12" s="66">
        <v>0.92530000000000001</v>
      </c>
      <c r="I12" s="86">
        <v>8.9999999999999998E-4</v>
      </c>
      <c r="J12" s="1">
        <v>0.93910000000000005</v>
      </c>
      <c r="K12" s="1">
        <v>3.0999999999999999E-3</v>
      </c>
      <c r="L12" s="1">
        <v>0.752</v>
      </c>
      <c r="M12" s="1">
        <v>3.7000000000000002E-3</v>
      </c>
      <c r="N12" s="1">
        <v>0.83520000000000005</v>
      </c>
      <c r="O12" s="1">
        <v>2.2000000000000001E-3</v>
      </c>
      <c r="P12" s="1">
        <v>0.97560000000000002</v>
      </c>
      <c r="Q12" s="1">
        <v>8.9999999999999998E-4</v>
      </c>
      <c r="R12" s="1">
        <v>15.8</v>
      </c>
      <c r="S12" s="41">
        <v>375</v>
      </c>
      <c r="Z12" s="150"/>
      <c r="AA12" s="153"/>
      <c r="AB12" s="52" t="s">
        <v>7</v>
      </c>
      <c r="AC12" s="69">
        <v>0.91790000000000005</v>
      </c>
      <c r="AD12" s="90">
        <v>2.3999999999999998E-3</v>
      </c>
      <c r="AE12" s="14">
        <v>0.89170000000000005</v>
      </c>
      <c r="AF12" s="14">
        <v>5.4000000000000003E-3</v>
      </c>
      <c r="AG12" s="14">
        <v>0.58169999999999999</v>
      </c>
      <c r="AH12" s="14">
        <v>1.2699999999999999E-2</v>
      </c>
      <c r="AI12" s="14">
        <v>0.70399999999999996</v>
      </c>
      <c r="AJ12" s="14">
        <v>1.0800000000000001E-2</v>
      </c>
      <c r="AK12" s="14">
        <v>0.96930000000000005</v>
      </c>
      <c r="AL12" s="14">
        <v>3.3999999999999998E-3</v>
      </c>
      <c r="AM12" s="14">
        <v>5.1100000000000003</v>
      </c>
      <c r="AN12" s="15">
        <v>126.8</v>
      </c>
      <c r="AR12" s="12">
        <v>0.90720000000000001</v>
      </c>
      <c r="AS12" s="12">
        <v>2.2000000000000001E-3</v>
      </c>
      <c r="AY12" s="14">
        <v>0.84319999999999995</v>
      </c>
      <c r="AZ12">
        <v>1.1999999999999999E-3</v>
      </c>
      <c r="BA12" s="26"/>
      <c r="BB12" s="26"/>
      <c r="BC12" s="26"/>
      <c r="BF12" s="14">
        <v>0.74780000000000002</v>
      </c>
      <c r="BG12">
        <v>1.04E-2</v>
      </c>
      <c r="BH12" s="26"/>
      <c r="BI12" s="26"/>
      <c r="BJ12" s="26"/>
      <c r="BM12" s="14">
        <v>0.80500000000000005</v>
      </c>
      <c r="BN12">
        <v>9.1000000000000004E-3</v>
      </c>
      <c r="BO12" s="26"/>
      <c r="BP12" s="26"/>
      <c r="BQ12" s="26"/>
      <c r="BS12" s="14">
        <v>0.78659999999999997</v>
      </c>
      <c r="BT12">
        <v>6.3E-3</v>
      </c>
      <c r="BU12" s="26"/>
      <c r="BW12" s="14">
        <v>0.96989999999999998</v>
      </c>
      <c r="BX12">
        <v>2.7000000000000001E-3</v>
      </c>
    </row>
    <row r="13" spans="5:76" ht="15.75" thickBot="1" x14ac:dyDescent="0.3">
      <c r="E13" s="171"/>
      <c r="F13" s="154"/>
      <c r="G13" s="48" t="s">
        <v>8</v>
      </c>
      <c r="H13" s="66">
        <v>0.8619</v>
      </c>
      <c r="I13" s="86">
        <v>1.8E-3</v>
      </c>
      <c r="J13" s="1">
        <v>0.96299999999999997</v>
      </c>
      <c r="K13" s="1">
        <v>6.7000000000000002E-3</v>
      </c>
      <c r="L13" s="1">
        <v>0.46939999999999998</v>
      </c>
      <c r="M13" s="1">
        <v>8.9999999999999993E-3</v>
      </c>
      <c r="N13" s="1">
        <v>0.63109999999999999</v>
      </c>
      <c r="O13" s="1">
        <v>7.4000000000000003E-3</v>
      </c>
      <c r="P13" s="1">
        <v>0.96879999999999999</v>
      </c>
      <c r="Q13" s="1">
        <v>1.6000000000000001E-3</v>
      </c>
      <c r="R13" s="1">
        <v>3.57</v>
      </c>
      <c r="S13" s="41">
        <v>1.4</v>
      </c>
      <c r="Z13" s="150"/>
      <c r="AA13" s="153"/>
      <c r="AB13" s="52" t="s">
        <v>8</v>
      </c>
      <c r="AC13" s="69">
        <v>0.90720000000000001</v>
      </c>
      <c r="AD13" s="90">
        <v>2.2000000000000001E-3</v>
      </c>
      <c r="AE13" s="14">
        <v>0.90800000000000003</v>
      </c>
      <c r="AF13" s="14">
        <v>7.9000000000000008E-3</v>
      </c>
      <c r="AG13" s="14">
        <v>0.49790000000000001</v>
      </c>
      <c r="AH13" s="14">
        <v>1.0800000000000001E-2</v>
      </c>
      <c r="AI13" s="14">
        <v>0.6431</v>
      </c>
      <c r="AJ13" s="14">
        <v>1.04E-2</v>
      </c>
      <c r="AK13" s="14">
        <v>0.95660000000000001</v>
      </c>
      <c r="AL13" s="14">
        <v>4.1999999999999997E-3</v>
      </c>
      <c r="AM13" s="14">
        <v>0.93</v>
      </c>
      <c r="AN13" s="15">
        <v>0</v>
      </c>
      <c r="AR13" s="12">
        <v>0.94130000000000003</v>
      </c>
      <c r="AS13" s="12">
        <v>1E-3</v>
      </c>
      <c r="AY13" s="14">
        <v>0.93400000000000005</v>
      </c>
      <c r="AZ13">
        <v>3.3E-3</v>
      </c>
      <c r="BA13" s="26"/>
      <c r="BB13" s="26"/>
      <c r="BC13" s="26"/>
      <c r="BF13" s="16">
        <v>0.89170000000000005</v>
      </c>
      <c r="BG13">
        <v>5.4000000000000003E-3</v>
      </c>
      <c r="BH13" s="26"/>
      <c r="BI13" s="26"/>
      <c r="BJ13" s="26"/>
      <c r="BM13" s="14">
        <v>0.88839999999999997</v>
      </c>
      <c r="BN13">
        <v>4.1000000000000003E-3</v>
      </c>
      <c r="BO13" s="26"/>
      <c r="BP13" s="26"/>
      <c r="BQ13" s="26"/>
      <c r="BS13" s="16">
        <v>0.90010000000000001</v>
      </c>
      <c r="BT13">
        <v>5.1000000000000004E-3</v>
      </c>
      <c r="BU13" s="26"/>
      <c r="BW13" s="16">
        <v>0.99170000000000003</v>
      </c>
      <c r="BX13">
        <v>1.8E-3</v>
      </c>
    </row>
    <row r="14" spans="5:76" ht="15.75" thickBot="1" x14ac:dyDescent="0.3">
      <c r="E14" s="171"/>
      <c r="F14" s="154"/>
      <c r="G14" s="49" t="s">
        <v>9</v>
      </c>
      <c r="H14" s="67">
        <v>0.93779999999999997</v>
      </c>
      <c r="I14" s="87">
        <v>2.3E-3</v>
      </c>
      <c r="J14" s="4">
        <v>0.88400000000000001</v>
      </c>
      <c r="K14" s="4">
        <v>1.6E-2</v>
      </c>
      <c r="L14" s="4">
        <v>0.86739999999999995</v>
      </c>
      <c r="M14" s="4">
        <v>1.26E-2</v>
      </c>
      <c r="N14" s="4">
        <v>0.87539999999999996</v>
      </c>
      <c r="O14" s="4">
        <v>3.3999999999999998E-3</v>
      </c>
      <c r="P14" s="4">
        <v>0.96889999999999998</v>
      </c>
      <c r="Q14" s="4">
        <v>1.8E-3</v>
      </c>
      <c r="R14" s="4">
        <v>4026.66</v>
      </c>
      <c r="S14" s="68">
        <v>164.9</v>
      </c>
      <c r="Z14" s="150"/>
      <c r="AA14" s="153"/>
      <c r="AB14" s="53" t="s">
        <v>9</v>
      </c>
      <c r="AC14" s="74">
        <v>0.94130000000000003</v>
      </c>
      <c r="AD14" s="91">
        <v>1E-3</v>
      </c>
      <c r="AE14" s="16">
        <v>0.84670000000000001</v>
      </c>
      <c r="AF14" s="16">
        <v>8.0000000000000002E-3</v>
      </c>
      <c r="AG14" s="16">
        <v>0.79490000000000005</v>
      </c>
      <c r="AH14" s="16">
        <v>1.5599999999999999E-2</v>
      </c>
      <c r="AI14" s="16">
        <v>0.81979999999999997</v>
      </c>
      <c r="AJ14" s="16">
        <v>5.0000000000000001E-3</v>
      </c>
      <c r="AK14" s="16">
        <v>0.97160000000000002</v>
      </c>
      <c r="AL14" s="16">
        <v>3.3E-3</v>
      </c>
      <c r="AM14" s="16">
        <v>1606.11</v>
      </c>
      <c r="AN14" s="17">
        <v>196.4</v>
      </c>
      <c r="AR14" s="18">
        <v>0.97460000000000002</v>
      </c>
      <c r="AS14" s="18">
        <v>4.1000000000000003E-3</v>
      </c>
      <c r="AY14" s="20">
        <v>0.97850000000000004</v>
      </c>
      <c r="AZ14">
        <v>6.6E-3</v>
      </c>
      <c r="BA14" s="26"/>
      <c r="BB14" s="26"/>
      <c r="BC14" s="26"/>
      <c r="BF14" s="18">
        <v>0.95309999999999995</v>
      </c>
      <c r="BG14">
        <v>8.3000000000000001E-3</v>
      </c>
      <c r="BH14" s="26"/>
      <c r="BI14" s="26"/>
      <c r="BJ14" s="26"/>
      <c r="BM14" s="20">
        <v>0.90759999999999996</v>
      </c>
      <c r="BN14">
        <v>1.09E-2</v>
      </c>
      <c r="BO14" s="26"/>
      <c r="BP14" s="26"/>
      <c r="BQ14" s="26"/>
      <c r="BS14" s="18">
        <v>0.97409999999999997</v>
      </c>
      <c r="BT14">
        <v>4.7000000000000002E-3</v>
      </c>
      <c r="BU14" s="26"/>
      <c r="BW14" s="18">
        <v>0.999</v>
      </c>
      <c r="BX14">
        <v>1.1999999999999999E-3</v>
      </c>
    </row>
    <row r="15" spans="5:76" ht="15.75" thickBot="1" x14ac:dyDescent="0.3">
      <c r="E15" s="171"/>
      <c r="F15" s="155" t="s">
        <v>2</v>
      </c>
      <c r="G15" s="44" t="s">
        <v>5</v>
      </c>
      <c r="H15" s="60">
        <v>0.89890000000000003</v>
      </c>
      <c r="I15" s="81">
        <v>2.2000000000000001E-3</v>
      </c>
      <c r="J15" s="6">
        <v>0.83230000000000004</v>
      </c>
      <c r="K15" s="6">
        <v>6.4999999999999997E-3</v>
      </c>
      <c r="L15" s="6">
        <v>0.74950000000000006</v>
      </c>
      <c r="M15" s="6">
        <v>4.5999999999999999E-3</v>
      </c>
      <c r="N15" s="6">
        <v>0.78869999999999996</v>
      </c>
      <c r="O15" s="6">
        <v>4.4000000000000003E-3</v>
      </c>
      <c r="P15" s="6">
        <v>0.94499999999999995</v>
      </c>
      <c r="Q15" s="6">
        <v>1.6999999999999999E-3</v>
      </c>
      <c r="R15" s="6">
        <v>37.04</v>
      </c>
      <c r="S15" s="7">
        <v>238.9</v>
      </c>
      <c r="Z15" s="150"/>
      <c r="AA15" s="158" t="s">
        <v>17</v>
      </c>
      <c r="AB15" s="54" t="s">
        <v>5</v>
      </c>
      <c r="AC15" s="76" cm="1">
        <f t="array" ref="AC15:AN19">H67:S71</f>
        <v>0.97460000000000002</v>
      </c>
      <c r="AD15" s="93">
        <v>4.1000000000000003E-3</v>
      </c>
      <c r="AE15" s="18">
        <v>0.94159999999999999</v>
      </c>
      <c r="AF15" s="18">
        <v>1.7999999999999999E-2</v>
      </c>
      <c r="AG15" s="18">
        <v>0.97330000000000005</v>
      </c>
      <c r="AH15" s="18">
        <v>1.0999999999999999E-2</v>
      </c>
      <c r="AI15" s="18">
        <v>0.95699999999999996</v>
      </c>
      <c r="AJ15" s="18">
        <v>6.6E-3</v>
      </c>
      <c r="AK15" s="77">
        <v>0.99299999999999999</v>
      </c>
      <c r="AL15" s="77">
        <v>2.5000000000000001E-3</v>
      </c>
      <c r="AM15" s="77">
        <v>3.93</v>
      </c>
      <c r="AN15" s="19">
        <v>32.5</v>
      </c>
      <c r="AR15" s="18">
        <v>0.9587</v>
      </c>
      <c r="AS15" s="18">
        <v>6.4000000000000003E-3</v>
      </c>
      <c r="AY15" s="20">
        <v>0.98260000000000003</v>
      </c>
      <c r="AZ15">
        <v>6.4000000000000003E-3</v>
      </c>
      <c r="BA15" s="26"/>
      <c r="BB15" s="26"/>
      <c r="BC15" s="26"/>
      <c r="BF15" s="20">
        <v>0.9516</v>
      </c>
      <c r="BG15">
        <v>7.4999999999999997E-3</v>
      </c>
      <c r="BH15" s="26"/>
      <c r="BI15" s="26"/>
      <c r="BJ15" s="26"/>
      <c r="BM15" s="20">
        <v>0.91339999999999999</v>
      </c>
      <c r="BN15">
        <v>9.5999999999999992E-3</v>
      </c>
      <c r="BO15" s="26"/>
      <c r="BP15" s="26"/>
      <c r="BQ15" s="26"/>
      <c r="BS15" s="20">
        <v>0.9698</v>
      </c>
      <c r="BT15">
        <v>5.1999999999999998E-3</v>
      </c>
      <c r="BU15" s="26"/>
      <c r="BW15" s="20">
        <v>0.99929999999999997</v>
      </c>
      <c r="BX15">
        <v>1E-3</v>
      </c>
    </row>
    <row r="16" spans="5:76" ht="15.75" thickBot="1" x14ac:dyDescent="0.3">
      <c r="E16" s="171"/>
      <c r="F16" s="156"/>
      <c r="G16" s="45" t="s">
        <v>6</v>
      </c>
      <c r="H16" s="61">
        <v>0.9083</v>
      </c>
      <c r="I16" s="82">
        <v>2.3E-3</v>
      </c>
      <c r="J16" s="8">
        <v>0.83889999999999998</v>
      </c>
      <c r="K16" s="8">
        <v>4.7999999999999996E-3</v>
      </c>
      <c r="L16" s="8">
        <v>0.78680000000000005</v>
      </c>
      <c r="M16" s="8">
        <v>5.3E-3</v>
      </c>
      <c r="N16" s="8">
        <v>0.81200000000000006</v>
      </c>
      <c r="O16" s="8">
        <v>4.7999999999999996E-3</v>
      </c>
      <c r="P16" s="8">
        <v>0.95199999999999996</v>
      </c>
      <c r="Q16" s="8">
        <v>2.5999999999999999E-3</v>
      </c>
      <c r="R16" s="8">
        <v>734.43</v>
      </c>
      <c r="S16" s="9">
        <v>216.6</v>
      </c>
      <c r="Z16" s="150"/>
      <c r="AA16" s="158"/>
      <c r="AB16" s="55" t="s">
        <v>6</v>
      </c>
      <c r="AC16" s="65">
        <v>0.9587</v>
      </c>
      <c r="AD16" s="85">
        <v>6.4000000000000003E-3</v>
      </c>
      <c r="AE16" s="20">
        <v>0.90400000000000003</v>
      </c>
      <c r="AF16" s="20">
        <v>2.07E-2</v>
      </c>
      <c r="AG16" s="20">
        <v>0.96</v>
      </c>
      <c r="AH16" s="20">
        <v>4.1999999999999997E-3</v>
      </c>
      <c r="AI16" s="20">
        <v>0.93100000000000005</v>
      </c>
      <c r="AJ16" s="20">
        <v>9.7000000000000003E-3</v>
      </c>
      <c r="AK16" s="20">
        <v>0.99060000000000004</v>
      </c>
      <c r="AL16" s="20">
        <v>2.2000000000000001E-3</v>
      </c>
      <c r="AM16" s="20">
        <v>70.430000000000007</v>
      </c>
      <c r="AN16" s="21">
        <v>25.5</v>
      </c>
      <c r="AR16" s="18">
        <v>0.96879999999999999</v>
      </c>
      <c r="AS16" s="18">
        <v>2.8E-3</v>
      </c>
      <c r="AY16" s="20">
        <v>0.9698</v>
      </c>
      <c r="AZ16">
        <v>5.1000000000000004E-3</v>
      </c>
      <c r="BA16" s="26"/>
      <c r="BB16" s="26"/>
      <c r="BC16" s="26"/>
      <c r="BF16" s="20">
        <v>0.96809999999999996</v>
      </c>
      <c r="BG16">
        <v>5.0000000000000001E-3</v>
      </c>
      <c r="BH16" s="26"/>
      <c r="BI16" s="26"/>
      <c r="BJ16" s="26"/>
      <c r="BM16" s="20">
        <v>0.9093</v>
      </c>
      <c r="BN16">
        <v>8.0000000000000002E-3</v>
      </c>
      <c r="BO16" s="26"/>
      <c r="BP16" s="26"/>
      <c r="BQ16" s="26"/>
      <c r="BS16" s="20">
        <v>0.94630000000000003</v>
      </c>
      <c r="BT16">
        <v>6.8999999999999999E-3</v>
      </c>
      <c r="BU16" s="26"/>
      <c r="BW16" s="20">
        <v>0.99880000000000002</v>
      </c>
      <c r="BX16">
        <v>1.5E-3</v>
      </c>
    </row>
    <row r="17" spans="5:76" ht="15" customHeight="1" thickBot="1" x14ac:dyDescent="0.3">
      <c r="E17" s="171"/>
      <c r="F17" s="156"/>
      <c r="G17" s="45" t="s">
        <v>7</v>
      </c>
      <c r="H17" s="61">
        <v>0.9133</v>
      </c>
      <c r="I17" s="82">
        <v>3.7000000000000002E-3</v>
      </c>
      <c r="J17" s="8">
        <v>0.87209999999999999</v>
      </c>
      <c r="K17" s="8">
        <v>5.1999999999999998E-3</v>
      </c>
      <c r="L17" s="8">
        <v>0.76819999999999999</v>
      </c>
      <c r="M17" s="8">
        <v>1.1599999999999999E-2</v>
      </c>
      <c r="N17" s="8">
        <v>0.81689999999999996</v>
      </c>
      <c r="O17" s="8">
        <v>8.6E-3</v>
      </c>
      <c r="P17" s="8">
        <v>0.9647</v>
      </c>
      <c r="Q17" s="8">
        <v>1.5E-3</v>
      </c>
      <c r="R17" s="8">
        <v>153.4</v>
      </c>
      <c r="S17" s="9">
        <v>263.60000000000002</v>
      </c>
      <c r="Z17" s="150"/>
      <c r="AA17" s="158"/>
      <c r="AB17" s="55" t="s">
        <v>7</v>
      </c>
      <c r="AC17" s="65">
        <v>0.96879999999999999</v>
      </c>
      <c r="AD17" s="85">
        <v>2.8E-3</v>
      </c>
      <c r="AE17" s="20">
        <v>0.9536</v>
      </c>
      <c r="AF17" s="20">
        <v>1.0999999999999999E-2</v>
      </c>
      <c r="AG17" s="20">
        <v>0.93830000000000002</v>
      </c>
      <c r="AH17" s="20">
        <v>5.5999999999999999E-3</v>
      </c>
      <c r="AI17" s="20">
        <v>0.94579999999999997</v>
      </c>
      <c r="AJ17" s="20">
        <v>4.5999999999999999E-3</v>
      </c>
      <c r="AK17" s="20">
        <v>0.99370000000000003</v>
      </c>
      <c r="AL17" s="20">
        <v>1.5E-3</v>
      </c>
      <c r="AM17" s="20">
        <v>3.07</v>
      </c>
      <c r="AN17" s="21">
        <v>23.4</v>
      </c>
      <c r="AR17" s="18">
        <v>0.97529999999999994</v>
      </c>
      <c r="AS17" s="18">
        <v>3.5999999999999999E-3</v>
      </c>
      <c r="AY17" s="20">
        <v>0.8639</v>
      </c>
      <c r="AZ17">
        <v>9.9000000000000008E-3</v>
      </c>
      <c r="BA17" s="26"/>
      <c r="BB17" s="26"/>
      <c r="BC17" s="26"/>
      <c r="BF17" s="20">
        <v>0.87229999999999996</v>
      </c>
      <c r="BG17">
        <v>6.4999999999999997E-3</v>
      </c>
      <c r="BH17" s="26"/>
      <c r="BI17" s="26"/>
      <c r="BJ17" s="26"/>
      <c r="BM17" s="20">
        <v>0.70289999999999997</v>
      </c>
      <c r="BN17">
        <v>1.3100000000000001E-2</v>
      </c>
      <c r="BO17" s="26"/>
      <c r="BP17" s="26"/>
      <c r="BQ17" s="26"/>
      <c r="BS17" s="20">
        <v>0.91800000000000004</v>
      </c>
      <c r="BT17">
        <v>1.46E-2</v>
      </c>
      <c r="BU17" s="26"/>
      <c r="BW17" s="20">
        <v>0.99829999999999997</v>
      </c>
      <c r="BX17">
        <v>1.5E-3</v>
      </c>
    </row>
    <row r="18" spans="5:76" ht="15.75" thickBot="1" x14ac:dyDescent="0.3">
      <c r="E18" s="171"/>
      <c r="F18" s="156"/>
      <c r="G18" s="45" t="s">
        <v>18</v>
      </c>
      <c r="H18" s="61">
        <v>0.60309999999999997</v>
      </c>
      <c r="I18" s="82">
        <v>1.6000000000000001E-3</v>
      </c>
      <c r="J18" s="8">
        <v>0.37509999999999999</v>
      </c>
      <c r="K18" s="8">
        <v>1E-3</v>
      </c>
      <c r="L18" s="8">
        <v>0.86550000000000005</v>
      </c>
      <c r="M18" s="8">
        <v>6.8999999999999999E-3</v>
      </c>
      <c r="N18" s="8">
        <v>0.52339999999999998</v>
      </c>
      <c r="O18" s="8">
        <v>1.9E-3</v>
      </c>
      <c r="P18" s="8">
        <v>0.76670000000000005</v>
      </c>
      <c r="Q18" s="8">
        <v>2.3E-3</v>
      </c>
      <c r="R18" s="8">
        <v>35.11</v>
      </c>
      <c r="S18" s="9">
        <v>207.6</v>
      </c>
      <c r="Z18" s="150"/>
      <c r="AA18" s="158"/>
      <c r="AB18" s="55" t="s">
        <v>8</v>
      </c>
      <c r="AC18" s="65">
        <v>0.97529999999999994</v>
      </c>
      <c r="AD18" s="85">
        <v>3.5999999999999999E-3</v>
      </c>
      <c r="AE18" s="20">
        <v>0.96609999999999996</v>
      </c>
      <c r="AF18" s="20">
        <v>8.9999999999999993E-3</v>
      </c>
      <c r="AG18" s="20">
        <v>0.94830000000000003</v>
      </c>
      <c r="AH18" s="20">
        <v>8.5000000000000006E-3</v>
      </c>
      <c r="AI18" s="20">
        <v>0.95709999999999995</v>
      </c>
      <c r="AJ18" s="20">
        <v>6.1999999999999998E-3</v>
      </c>
      <c r="AK18" s="20">
        <v>0.99429999999999996</v>
      </c>
      <c r="AL18" s="20">
        <v>8.9999999999999998E-4</v>
      </c>
      <c r="AM18" s="20">
        <v>1.64</v>
      </c>
      <c r="AN18" s="21">
        <v>18.2</v>
      </c>
      <c r="AR18" s="18">
        <v>0.97629999999999995</v>
      </c>
      <c r="AS18" s="18">
        <v>4.5999999999999999E-3</v>
      </c>
      <c r="AY18" s="20">
        <v>0.98599999999999999</v>
      </c>
      <c r="AZ18">
        <v>3.5999999999999999E-3</v>
      </c>
      <c r="BA18" s="26"/>
      <c r="BB18" s="26"/>
      <c r="BC18" s="26"/>
      <c r="BF18" s="22">
        <v>0.97070000000000001</v>
      </c>
      <c r="BG18">
        <v>9.7999999999999997E-3</v>
      </c>
      <c r="BH18" s="26"/>
      <c r="BI18" s="26"/>
      <c r="BJ18" s="26"/>
      <c r="BM18" s="20">
        <v>0.94610000000000005</v>
      </c>
      <c r="BN18">
        <v>7.9000000000000008E-3</v>
      </c>
      <c r="BO18" s="26"/>
      <c r="BP18" s="26"/>
      <c r="BQ18" s="26"/>
      <c r="BS18" s="22">
        <v>0.97340000000000004</v>
      </c>
      <c r="BT18">
        <v>5.0000000000000001E-3</v>
      </c>
      <c r="BU18" s="26"/>
      <c r="BW18" s="22">
        <v>0.999</v>
      </c>
      <c r="BX18">
        <v>1.1999999999999999E-3</v>
      </c>
    </row>
    <row r="19" spans="5:76" ht="19.5" thickBot="1" x14ac:dyDescent="0.35">
      <c r="E19" s="171"/>
      <c r="F19" s="157"/>
      <c r="G19" s="46" t="s">
        <v>9</v>
      </c>
      <c r="H19" s="62">
        <v>0.91869999999999996</v>
      </c>
      <c r="I19" s="83">
        <v>1.4E-3</v>
      </c>
      <c r="J19" s="10">
        <v>0.83699999999999997</v>
      </c>
      <c r="K19" s="10">
        <v>9.4999999999999998E-3</v>
      </c>
      <c r="L19" s="10">
        <v>0.84150000000000003</v>
      </c>
      <c r="M19" s="10">
        <v>1.5100000000000001E-2</v>
      </c>
      <c r="N19" s="10">
        <v>0.83909999999999996</v>
      </c>
      <c r="O19" s="10">
        <v>4.0000000000000001E-3</v>
      </c>
      <c r="P19" s="10">
        <v>0.9526</v>
      </c>
      <c r="Q19" s="10">
        <v>4.8999999999999998E-3</v>
      </c>
      <c r="R19" s="10">
        <v>289.37</v>
      </c>
      <c r="S19" s="11">
        <v>218.6</v>
      </c>
      <c r="Z19" s="151"/>
      <c r="AA19" s="159"/>
      <c r="AB19" s="56" t="s">
        <v>9</v>
      </c>
      <c r="AC19" s="70">
        <v>0.97629999999999995</v>
      </c>
      <c r="AD19" s="94">
        <v>4.5999999999999999E-3</v>
      </c>
      <c r="AE19" s="22">
        <v>0.95950000000000002</v>
      </c>
      <c r="AF19" s="22">
        <v>1.5800000000000002E-2</v>
      </c>
      <c r="AG19" s="22">
        <v>0.95909999999999995</v>
      </c>
      <c r="AH19" s="22">
        <v>1.4E-2</v>
      </c>
      <c r="AI19" s="22">
        <v>0.95909999999999995</v>
      </c>
      <c r="AJ19" s="22">
        <v>7.9000000000000008E-3</v>
      </c>
      <c r="AK19" s="22">
        <v>0.9919</v>
      </c>
      <c r="AL19" s="22">
        <v>3.8E-3</v>
      </c>
      <c r="AM19" s="22">
        <v>537.83000000000004</v>
      </c>
      <c r="AN19" s="23">
        <v>272.39999999999998</v>
      </c>
      <c r="AQ19" t="s">
        <v>441</v>
      </c>
      <c r="AR19" s="30" t="s">
        <v>423</v>
      </c>
      <c r="AS19" s="33">
        <v>0.32240000000000002</v>
      </c>
      <c r="AT19" s="31"/>
      <c r="AU19" s="31"/>
      <c r="AV19" s="31"/>
      <c r="AW19" s="31"/>
      <c r="AX19" s="31"/>
      <c r="AY19" s="30" t="s">
        <v>424</v>
      </c>
      <c r="AZ19" s="33">
        <v>0.15049999999999999</v>
      </c>
      <c r="BA19" s="31"/>
      <c r="BB19" s="31"/>
      <c r="BC19" s="31"/>
      <c r="BD19" s="31"/>
      <c r="BE19" s="31"/>
      <c r="BF19" s="30" t="s">
        <v>423</v>
      </c>
      <c r="BG19" s="33">
        <v>9.9350000000000003E-4</v>
      </c>
      <c r="BH19" s="34"/>
      <c r="BI19" s="34"/>
      <c r="BJ19" s="34"/>
      <c r="BK19" s="31"/>
      <c r="BL19" s="31"/>
      <c r="BM19" s="30" t="s">
        <v>423</v>
      </c>
      <c r="BN19" s="33">
        <v>2.5000000000000001E-2</v>
      </c>
      <c r="BO19" s="34"/>
      <c r="BP19" s="34"/>
      <c r="BQ19" s="34"/>
      <c r="BR19" s="31"/>
      <c r="BS19" s="30" t="s">
        <v>423</v>
      </c>
      <c r="BT19" s="33">
        <v>6.8690000000000001E-3</v>
      </c>
      <c r="BU19" s="26"/>
      <c r="BV19" s="26"/>
      <c r="BW19" s="30" t="s">
        <v>423</v>
      </c>
      <c r="BX19" s="208">
        <v>1.18E-4</v>
      </c>
    </row>
    <row r="20" spans="5:76" x14ac:dyDescent="0.25">
      <c r="E20" s="171"/>
      <c r="F20" s="160" t="s">
        <v>3</v>
      </c>
      <c r="G20" s="111" t="s">
        <v>5</v>
      </c>
      <c r="H20" s="112">
        <v>0.84009999999999996</v>
      </c>
      <c r="I20" s="113">
        <v>3.3999999999999998E-3</v>
      </c>
      <c r="J20" s="114">
        <v>0.78480000000000005</v>
      </c>
      <c r="K20" s="114">
        <v>1.2999999999999999E-2</v>
      </c>
      <c r="L20" s="114">
        <v>0.50280000000000002</v>
      </c>
      <c r="M20" s="114">
        <v>6.4000000000000003E-3</v>
      </c>
      <c r="N20" s="114">
        <v>0.6129</v>
      </c>
      <c r="O20" s="114">
        <v>7.6E-3</v>
      </c>
      <c r="P20" s="114">
        <v>0.87890000000000001</v>
      </c>
      <c r="Q20" s="114">
        <v>7.0000000000000001E-3</v>
      </c>
      <c r="R20" s="114">
        <v>168.35</v>
      </c>
      <c r="S20" s="115">
        <v>227.3</v>
      </c>
      <c r="AB20" s="25" t="s">
        <v>23</v>
      </c>
      <c r="AC20">
        <f t="shared" ref="AC20:AN20" si="0">AVERAGE(AC5:AC19)</f>
        <v>0.94409333333333345</v>
      </c>
      <c r="AD20">
        <f t="shared" si="0"/>
        <v>2.7733333333333334E-3</v>
      </c>
      <c r="AE20">
        <f t="shared" si="0"/>
        <v>0.90472666666666668</v>
      </c>
      <c r="AF20">
        <f t="shared" si="0"/>
        <v>8.9533333333333322E-3</v>
      </c>
      <c r="AG20">
        <f t="shared" si="0"/>
        <v>0.8258333333333332</v>
      </c>
      <c r="AH20">
        <f t="shared" si="0"/>
        <v>9.8933333333333356E-3</v>
      </c>
      <c r="AI20">
        <f t="shared" si="0"/>
        <v>0.85770666666666684</v>
      </c>
      <c r="AJ20">
        <f t="shared" si="0"/>
        <v>6.6666666666666671E-3</v>
      </c>
      <c r="AK20">
        <f t="shared" si="0"/>
        <v>0.97639999999999993</v>
      </c>
      <c r="AL20">
        <f t="shared" si="0"/>
        <v>2.453333333333333E-3</v>
      </c>
      <c r="AM20">
        <f t="shared" si="0"/>
        <v>711.14066666666668</v>
      </c>
      <c r="AN20">
        <f t="shared" si="0"/>
        <v>88.813333333333318</v>
      </c>
    </row>
    <row r="21" spans="5:76" x14ac:dyDescent="0.25">
      <c r="E21" s="171"/>
      <c r="F21" s="160"/>
      <c r="G21" s="116" t="s">
        <v>6</v>
      </c>
      <c r="H21" s="117">
        <v>0.8589</v>
      </c>
      <c r="I21" s="118">
        <v>3.3999999999999998E-3</v>
      </c>
      <c r="J21" s="119">
        <v>0.81899999999999995</v>
      </c>
      <c r="K21" s="119">
        <v>7.6E-3</v>
      </c>
      <c r="L21" s="119">
        <v>0.56440000000000001</v>
      </c>
      <c r="M21" s="119">
        <v>9.9000000000000008E-3</v>
      </c>
      <c r="N21" s="119">
        <v>0.66830000000000001</v>
      </c>
      <c r="O21" s="119">
        <v>9.1999999999999998E-3</v>
      </c>
      <c r="P21" s="119">
        <v>0.89300000000000002</v>
      </c>
      <c r="Q21" s="119">
        <v>3.3999999999999998E-3</v>
      </c>
      <c r="R21" s="119">
        <v>2263.2399999999998</v>
      </c>
      <c r="S21" s="120">
        <v>233.5</v>
      </c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R21" t="s">
        <v>436</v>
      </c>
      <c r="AS21">
        <f>TTEST(_xlfn.ANCHORARRAY(AR4),AY4:AY18, 1,3)</f>
        <v>0.13190093472842879</v>
      </c>
    </row>
    <row r="22" spans="5:76" ht="15" customHeight="1" thickBot="1" x14ac:dyDescent="0.3">
      <c r="E22" s="171"/>
      <c r="F22" s="160"/>
      <c r="G22" s="116" t="s">
        <v>7</v>
      </c>
      <c r="H22" s="117">
        <v>0.82310000000000005</v>
      </c>
      <c r="I22" s="118">
        <v>2.5999999999999999E-3</v>
      </c>
      <c r="J22" s="119">
        <v>0.85780000000000001</v>
      </c>
      <c r="K22" s="119">
        <v>9.4999999999999998E-3</v>
      </c>
      <c r="L22" s="119">
        <v>0.35659999999999997</v>
      </c>
      <c r="M22" s="119">
        <v>7.0000000000000001E-3</v>
      </c>
      <c r="N22" s="119">
        <v>0.50380000000000003</v>
      </c>
      <c r="O22" s="119">
        <v>8.5000000000000006E-3</v>
      </c>
      <c r="P22" s="119">
        <v>0.87809999999999999</v>
      </c>
      <c r="Q22" s="119">
        <v>2.5000000000000001E-3</v>
      </c>
      <c r="R22" s="119">
        <v>306.11</v>
      </c>
      <c r="S22" s="120">
        <v>276.60000000000002</v>
      </c>
    </row>
    <row r="23" spans="5:76" ht="15" customHeight="1" x14ac:dyDescent="0.25">
      <c r="E23" s="171"/>
      <c r="F23" s="160"/>
      <c r="G23" s="116" t="s">
        <v>18</v>
      </c>
      <c r="H23" s="117">
        <v>0.70530000000000004</v>
      </c>
      <c r="I23" s="118">
        <v>3.5999999999999999E-3</v>
      </c>
      <c r="J23" s="119">
        <v>0.40360000000000001</v>
      </c>
      <c r="K23" s="119">
        <v>8.5000000000000006E-3</v>
      </c>
      <c r="L23" s="119">
        <v>0.35730000000000001</v>
      </c>
      <c r="M23" s="119">
        <v>1.01E-2</v>
      </c>
      <c r="N23" s="119">
        <v>0.379</v>
      </c>
      <c r="O23" s="119">
        <v>9.2999999999999992E-3</v>
      </c>
      <c r="P23" s="119">
        <v>0.71009999999999995</v>
      </c>
      <c r="Q23" s="119">
        <v>3.3E-3</v>
      </c>
      <c r="R23" s="119">
        <v>167.96</v>
      </c>
      <c r="S23" s="120">
        <v>210.6</v>
      </c>
      <c r="Z23" s="195" t="s">
        <v>22</v>
      </c>
      <c r="AA23" s="161" t="s">
        <v>20</v>
      </c>
      <c r="AB23" s="81" t="s">
        <v>5</v>
      </c>
      <c r="AC23" s="6" cm="1">
        <f t="array" ref="AC23:AN27">H10:S14</f>
        <v>0.9325</v>
      </c>
      <c r="AD23" s="6">
        <v>1.5E-3</v>
      </c>
      <c r="AE23" s="6">
        <v>0.89910000000000001</v>
      </c>
      <c r="AF23" s="6">
        <v>6.8999999999999999E-3</v>
      </c>
      <c r="AG23" s="6">
        <v>0.82469999999999999</v>
      </c>
      <c r="AH23" s="6">
        <v>5.8999999999999999E-3</v>
      </c>
      <c r="AI23" s="6">
        <v>0.86029999999999995</v>
      </c>
      <c r="AJ23" s="6">
        <v>3.0999999999999999E-3</v>
      </c>
      <c r="AK23" s="6">
        <v>0.97570000000000001</v>
      </c>
      <c r="AL23" s="6">
        <v>8.0000000000000004E-4</v>
      </c>
      <c r="AM23" s="6">
        <v>4.66</v>
      </c>
      <c r="AN23" s="7">
        <v>43.6</v>
      </c>
    </row>
    <row r="24" spans="5:76" ht="15.75" thickBot="1" x14ac:dyDescent="0.3">
      <c r="E24" s="171"/>
      <c r="F24" s="160"/>
      <c r="G24" s="121" t="s">
        <v>9</v>
      </c>
      <c r="H24" s="122">
        <v>0.86429999999999996</v>
      </c>
      <c r="I24" s="123">
        <v>3.5000000000000001E-3</v>
      </c>
      <c r="J24" s="124">
        <v>0.74119999999999997</v>
      </c>
      <c r="K24" s="124">
        <v>1.26E-2</v>
      </c>
      <c r="L24" s="124">
        <v>0.70920000000000005</v>
      </c>
      <c r="M24" s="124">
        <v>1.7899999999999999E-2</v>
      </c>
      <c r="N24" s="124">
        <v>0.72460000000000002</v>
      </c>
      <c r="O24" s="124">
        <v>7.9000000000000008E-3</v>
      </c>
      <c r="P24" s="124">
        <v>0.86919999999999997</v>
      </c>
      <c r="Q24" s="124">
        <v>7.4000000000000003E-3</v>
      </c>
      <c r="R24" s="124">
        <v>310.16000000000003</v>
      </c>
      <c r="S24" s="125">
        <v>221.3</v>
      </c>
      <c r="Z24" s="196"/>
      <c r="AA24" s="162"/>
      <c r="AB24" s="82" t="s">
        <v>6</v>
      </c>
      <c r="AC24" s="8">
        <v>0.94889999999999997</v>
      </c>
      <c r="AD24" s="8">
        <v>1.6000000000000001E-3</v>
      </c>
      <c r="AE24" s="8">
        <v>0.91490000000000005</v>
      </c>
      <c r="AF24" s="8">
        <v>4.7999999999999996E-3</v>
      </c>
      <c r="AG24" s="8">
        <v>0.87860000000000005</v>
      </c>
      <c r="AH24" s="8">
        <v>5.0000000000000001E-3</v>
      </c>
      <c r="AI24" s="8">
        <v>0.89639999999999997</v>
      </c>
      <c r="AJ24" s="8">
        <v>3.2000000000000002E-3</v>
      </c>
      <c r="AK24" s="8">
        <v>0.98350000000000004</v>
      </c>
      <c r="AL24" s="8">
        <v>8.9999999999999998E-4</v>
      </c>
      <c r="AM24" s="8">
        <v>4506.62</v>
      </c>
      <c r="AN24" s="9">
        <v>1.1000000000000001</v>
      </c>
      <c r="AY24" t="s">
        <v>32</v>
      </c>
      <c r="AZ24">
        <f>TTEST(AY4:AY18,BF4:BF18, 1,3)</f>
        <v>4.764734800614364E-2</v>
      </c>
      <c r="BF24" t="s">
        <v>35</v>
      </c>
      <c r="BG24">
        <f>TTEST(BF4:BF18,BM4:BM18, 1,3)</f>
        <v>0.19145264644182414</v>
      </c>
      <c r="BM24" t="s">
        <v>37</v>
      </c>
      <c r="BN24">
        <f>TTEST(BM4:BM18,BS4:BS18, 1,3)</f>
        <v>2.4983976975810233E-2</v>
      </c>
      <c r="BS24" t="s">
        <v>425</v>
      </c>
      <c r="BT24">
        <f>TTEST(BS4:BS18,BF4:BF18, 1,3)</f>
        <v>0.20746867150254933</v>
      </c>
    </row>
    <row r="25" spans="5:76" x14ac:dyDescent="0.25">
      <c r="E25" s="171"/>
      <c r="F25" s="146" t="s">
        <v>4</v>
      </c>
      <c r="G25" s="44" t="s">
        <v>5</v>
      </c>
      <c r="H25" s="60">
        <v>0.93120000000000003</v>
      </c>
      <c r="I25" s="81">
        <v>2.7000000000000001E-3</v>
      </c>
      <c r="J25" s="6">
        <v>0.87250000000000005</v>
      </c>
      <c r="K25" s="6">
        <v>2.3E-3</v>
      </c>
      <c r="L25" s="6">
        <v>0.85099999999999998</v>
      </c>
      <c r="M25" s="6">
        <v>1.2E-2</v>
      </c>
      <c r="N25" s="6">
        <v>0.86160000000000003</v>
      </c>
      <c r="O25" s="6">
        <v>6.4000000000000003E-3</v>
      </c>
      <c r="P25" s="6">
        <v>0.9728</v>
      </c>
      <c r="Q25" s="6">
        <v>2.3999999999999998E-3</v>
      </c>
      <c r="R25" s="6">
        <v>81.98</v>
      </c>
      <c r="S25" s="7">
        <v>1362.4</v>
      </c>
      <c r="Z25" s="196"/>
      <c r="AA25" s="162"/>
      <c r="AB25" s="82" t="s">
        <v>7</v>
      </c>
      <c r="AC25" s="8">
        <v>0.92530000000000001</v>
      </c>
      <c r="AD25" s="8">
        <v>8.9999999999999998E-4</v>
      </c>
      <c r="AE25" s="8">
        <v>0.93910000000000005</v>
      </c>
      <c r="AF25" s="8">
        <v>3.0999999999999999E-3</v>
      </c>
      <c r="AG25" s="8">
        <v>0.752</v>
      </c>
      <c r="AH25" s="8">
        <v>3.7000000000000002E-3</v>
      </c>
      <c r="AI25" s="8">
        <v>0.83520000000000005</v>
      </c>
      <c r="AJ25" s="8">
        <v>2.2000000000000001E-3</v>
      </c>
      <c r="AK25" s="8">
        <v>0.97560000000000002</v>
      </c>
      <c r="AL25" s="8">
        <v>8.9999999999999998E-4</v>
      </c>
      <c r="AM25" s="8">
        <v>15.8</v>
      </c>
      <c r="AN25" s="9">
        <v>375</v>
      </c>
      <c r="AR25" s="144" t="s">
        <v>442</v>
      </c>
      <c r="AS25" s="144"/>
      <c r="AT25" s="144"/>
      <c r="AU25" s="144"/>
      <c r="AY25" t="s">
        <v>33</v>
      </c>
      <c r="AZ25" s="32">
        <f>TTEST(AY4:AY18,BM4:BM18, 1,3)</f>
        <v>1.1442564240257075E-3</v>
      </c>
      <c r="BF25" t="s">
        <v>36</v>
      </c>
      <c r="BG25">
        <f>TTEST(BF4:BF18,BS4:BS18, 1,3)</f>
        <v>0.20746867150254933</v>
      </c>
      <c r="BS25" t="s">
        <v>38</v>
      </c>
      <c r="BT25">
        <f>TTEST(BS4:BS18,BM4:BM18, 1,3)</f>
        <v>2.4983976975810233E-2</v>
      </c>
    </row>
    <row r="26" spans="5:76" x14ac:dyDescent="0.25">
      <c r="E26" s="171"/>
      <c r="F26" s="147"/>
      <c r="G26" s="45" t="s">
        <v>6</v>
      </c>
      <c r="H26" s="61">
        <v>0.9325</v>
      </c>
      <c r="I26" s="82">
        <v>1.8E-3</v>
      </c>
      <c r="J26" s="8">
        <v>0.88080000000000003</v>
      </c>
      <c r="K26" s="8">
        <v>3.2000000000000002E-3</v>
      </c>
      <c r="L26" s="8">
        <v>0.84640000000000004</v>
      </c>
      <c r="M26" s="8">
        <v>9.1999999999999998E-3</v>
      </c>
      <c r="N26" s="8">
        <v>0.86319999999999997</v>
      </c>
      <c r="O26" s="8">
        <v>4.4000000000000003E-3</v>
      </c>
      <c r="P26" s="8">
        <v>0.97050000000000003</v>
      </c>
      <c r="Q26" s="8">
        <v>1.8E-3</v>
      </c>
      <c r="R26" s="8">
        <v>3250.05</v>
      </c>
      <c r="S26" s="9">
        <v>1240.9000000000001</v>
      </c>
      <c r="Z26" s="196"/>
      <c r="AA26" s="162"/>
      <c r="AB26" s="82" t="s">
        <v>8</v>
      </c>
      <c r="AC26" s="8">
        <v>0.8619</v>
      </c>
      <c r="AD26" s="8">
        <v>1.8E-3</v>
      </c>
      <c r="AE26" s="8">
        <v>0.96299999999999997</v>
      </c>
      <c r="AF26" s="8">
        <v>6.7000000000000002E-3</v>
      </c>
      <c r="AG26" s="8">
        <v>0.46939999999999998</v>
      </c>
      <c r="AH26" s="8">
        <v>8.9999999999999993E-3</v>
      </c>
      <c r="AI26" s="8">
        <v>0.63109999999999999</v>
      </c>
      <c r="AJ26" s="8">
        <v>7.4000000000000003E-3</v>
      </c>
      <c r="AK26" s="8">
        <v>0.96879999999999999</v>
      </c>
      <c r="AL26" s="8">
        <v>1.6000000000000001E-3</v>
      </c>
      <c r="AM26" s="8">
        <v>3.57</v>
      </c>
      <c r="AN26" s="9">
        <v>1.4</v>
      </c>
      <c r="AR26" t="s">
        <v>438</v>
      </c>
      <c r="AS26" t="s">
        <v>428</v>
      </c>
      <c r="AT26" t="s">
        <v>439</v>
      </c>
      <c r="AU26" t="s">
        <v>440</v>
      </c>
      <c r="AY26" t="s">
        <v>34</v>
      </c>
      <c r="AZ26">
        <f>TTEST(AY4:AY18,BS4:BS18, 1,3)</f>
        <v>0.14714109167680542</v>
      </c>
    </row>
    <row r="27" spans="5:76" ht="15.75" thickBot="1" x14ac:dyDescent="0.3">
      <c r="E27" s="171"/>
      <c r="F27" s="147"/>
      <c r="G27" s="45" t="s">
        <v>7</v>
      </c>
      <c r="H27" s="61">
        <v>0.92230000000000001</v>
      </c>
      <c r="I27" s="82">
        <v>4.1000000000000003E-3</v>
      </c>
      <c r="J27" s="8">
        <v>0.91120000000000001</v>
      </c>
      <c r="K27" s="8">
        <v>5.4000000000000003E-3</v>
      </c>
      <c r="L27" s="8">
        <v>0.76600000000000001</v>
      </c>
      <c r="M27" s="8">
        <v>1.72E-2</v>
      </c>
      <c r="N27" s="8">
        <v>0.83220000000000005</v>
      </c>
      <c r="O27" s="8">
        <v>1.0500000000000001E-2</v>
      </c>
      <c r="P27" s="8">
        <v>0.97240000000000004</v>
      </c>
      <c r="Q27" s="8">
        <v>2.5999999999999999E-3</v>
      </c>
      <c r="R27" s="8">
        <v>528.83000000000004</v>
      </c>
      <c r="S27" s="9">
        <v>1245</v>
      </c>
      <c r="Z27" s="196"/>
      <c r="AA27" s="163"/>
      <c r="AB27" s="129" t="s">
        <v>9</v>
      </c>
      <c r="AC27" s="98">
        <v>0.93779999999999997</v>
      </c>
      <c r="AD27" s="98">
        <v>2.3E-3</v>
      </c>
      <c r="AE27" s="98">
        <v>0.88400000000000001</v>
      </c>
      <c r="AF27" s="98">
        <v>1.6E-2</v>
      </c>
      <c r="AG27" s="98">
        <v>0.86739999999999995</v>
      </c>
      <c r="AH27" s="98">
        <v>1.26E-2</v>
      </c>
      <c r="AI27" s="98">
        <v>0.87539999999999996</v>
      </c>
      <c r="AJ27" s="98">
        <v>3.3999999999999998E-3</v>
      </c>
      <c r="AK27" s="98">
        <v>0.96889999999999998</v>
      </c>
      <c r="AL27" s="98">
        <v>1.8E-3</v>
      </c>
      <c r="AM27" s="98">
        <v>4026.66</v>
      </c>
      <c r="AN27" s="126">
        <v>164.9</v>
      </c>
      <c r="AR27" t="s">
        <v>28</v>
      </c>
      <c r="AS27">
        <f>TTEST(AR4:AR18,AY4:AY18, 1,3)</f>
        <v>0.13190093472842879</v>
      </c>
      <c r="AT27" s="36" t="b">
        <v>0</v>
      </c>
      <c r="AU27" t="s">
        <v>435</v>
      </c>
    </row>
    <row r="28" spans="5:76" ht="15" customHeight="1" x14ac:dyDescent="0.25">
      <c r="E28" s="171"/>
      <c r="F28" s="147"/>
      <c r="G28" s="45" t="s">
        <v>8</v>
      </c>
      <c r="H28" s="61">
        <v>0.73260000000000003</v>
      </c>
      <c r="I28" s="82">
        <v>2E-3</v>
      </c>
      <c r="J28" s="8">
        <v>0.48149999999999998</v>
      </c>
      <c r="K28" s="8">
        <v>2.3E-3</v>
      </c>
      <c r="L28" s="8">
        <v>0.80759999999999998</v>
      </c>
      <c r="M28" s="8">
        <v>1.4E-3</v>
      </c>
      <c r="N28" s="8">
        <v>0.60329999999999995</v>
      </c>
      <c r="O28" s="8">
        <v>1.6000000000000001E-3</v>
      </c>
      <c r="P28" s="8">
        <v>0.81320000000000003</v>
      </c>
      <c r="Q28" s="8">
        <v>2.2000000000000001E-3</v>
      </c>
      <c r="R28" s="8">
        <v>72.349999999999994</v>
      </c>
      <c r="S28" s="9">
        <v>1241.5</v>
      </c>
      <c r="Z28" s="196"/>
      <c r="AA28" s="167" t="s">
        <v>21</v>
      </c>
      <c r="AB28" s="92" t="s">
        <v>5</v>
      </c>
      <c r="AC28" s="12" cm="1">
        <f t="array" ref="AC28:AN32">H41:S45</f>
        <v>0.93030000000000002</v>
      </c>
      <c r="AD28" s="12">
        <v>3.7000000000000002E-3</v>
      </c>
      <c r="AE28" s="12">
        <v>0.88370000000000004</v>
      </c>
      <c r="AF28" s="12">
        <v>1.37E-2</v>
      </c>
      <c r="AG28" s="12">
        <v>0.67359999999999998</v>
      </c>
      <c r="AH28" s="12">
        <v>1.21E-2</v>
      </c>
      <c r="AI28" s="12">
        <v>0.76449999999999996</v>
      </c>
      <c r="AJ28" s="12">
        <v>1.2800000000000001E-2</v>
      </c>
      <c r="AK28" s="12">
        <v>0.97689999999999999</v>
      </c>
      <c r="AL28" s="12">
        <v>3.3E-3</v>
      </c>
      <c r="AM28" s="12">
        <v>1.75</v>
      </c>
      <c r="AN28" s="13">
        <v>24.2</v>
      </c>
      <c r="AR28" t="s">
        <v>29</v>
      </c>
      <c r="AS28" s="26">
        <v>2.1329999999999999E-3</v>
      </c>
      <c r="AT28" s="36" t="b">
        <v>1</v>
      </c>
      <c r="AU28" t="s">
        <v>437</v>
      </c>
    </row>
    <row r="29" spans="5:76" ht="15.75" thickBot="1" x14ac:dyDescent="0.3">
      <c r="E29" s="171"/>
      <c r="F29" s="148"/>
      <c r="G29" s="46" t="s">
        <v>9</v>
      </c>
      <c r="H29" s="70">
        <v>0.9405</v>
      </c>
      <c r="I29" s="83">
        <v>1.1999999999999999E-3</v>
      </c>
      <c r="J29" s="10">
        <v>0.88900000000000001</v>
      </c>
      <c r="K29" s="10">
        <v>9.4000000000000004E-3</v>
      </c>
      <c r="L29" s="10">
        <v>0.87309999999999999</v>
      </c>
      <c r="M29" s="10">
        <v>1.2999999999999999E-2</v>
      </c>
      <c r="N29" s="22">
        <v>0.88080000000000003</v>
      </c>
      <c r="O29" s="10">
        <v>3.0999999999999999E-3</v>
      </c>
      <c r="P29" s="10">
        <v>0.96970000000000001</v>
      </c>
      <c r="Q29" s="10">
        <v>3.0000000000000001E-3</v>
      </c>
      <c r="R29" s="10">
        <v>459.94</v>
      </c>
      <c r="S29" s="11">
        <v>1257.7</v>
      </c>
      <c r="Z29" s="196"/>
      <c r="AA29" s="168"/>
      <c r="AB29" s="90" t="s">
        <v>6</v>
      </c>
      <c r="AC29" s="14">
        <v>0.94130000000000003</v>
      </c>
      <c r="AD29" s="14">
        <v>3.3E-3</v>
      </c>
      <c r="AE29" s="14">
        <v>0.87139999999999995</v>
      </c>
      <c r="AF29" s="14">
        <v>1.09E-2</v>
      </c>
      <c r="AG29" s="14">
        <v>0.76339999999999997</v>
      </c>
      <c r="AH29" s="14">
        <v>1.11E-2</v>
      </c>
      <c r="AI29" s="14">
        <v>0.81379999999999997</v>
      </c>
      <c r="AJ29" s="14">
        <v>1.0699999999999999E-2</v>
      </c>
      <c r="AK29" s="14">
        <v>0.97729999999999995</v>
      </c>
      <c r="AL29" s="14">
        <v>3.0000000000000001E-3</v>
      </c>
      <c r="AM29" s="14">
        <v>806.69</v>
      </c>
      <c r="AN29" s="15">
        <v>2.2999999999999998</v>
      </c>
      <c r="AR29" t="s">
        <v>30</v>
      </c>
      <c r="AS29" s="26">
        <v>1.5299999999999999E-5</v>
      </c>
      <c r="AT29" s="36" t="b">
        <v>1</v>
      </c>
      <c r="AU29" t="s">
        <v>437</v>
      </c>
    </row>
    <row r="30" spans="5:76" x14ac:dyDescent="0.25">
      <c r="E30" s="171"/>
      <c r="F30" s="164" t="s">
        <v>448</v>
      </c>
      <c r="G30" s="39" t="s">
        <v>5</v>
      </c>
      <c r="H30" s="39">
        <v>0.99370000000000003</v>
      </c>
      <c r="I30" s="39">
        <v>6.9999999999999999E-4</v>
      </c>
      <c r="J30" s="39">
        <v>0.9889</v>
      </c>
      <c r="K30" s="39">
        <v>1.5E-3</v>
      </c>
      <c r="L30" s="39">
        <v>0.98619999999999997</v>
      </c>
      <c r="M30" s="39">
        <v>2.5000000000000001E-3</v>
      </c>
      <c r="N30" s="39">
        <v>0.98750000000000004</v>
      </c>
      <c r="O30" s="39">
        <v>1.2999999999999999E-3</v>
      </c>
      <c r="P30" s="39">
        <v>0.99850000000000005</v>
      </c>
      <c r="Q30" s="39">
        <v>6.9999999999999999E-4</v>
      </c>
      <c r="R30" s="39">
        <v>375.71</v>
      </c>
      <c r="S30" s="40">
        <v>3979.3</v>
      </c>
      <c r="Z30" s="196"/>
      <c r="AA30" s="168"/>
      <c r="AB30" s="90" t="s">
        <v>7</v>
      </c>
      <c r="AC30" s="14">
        <v>0.90159999999999996</v>
      </c>
      <c r="AD30" s="14">
        <v>1.6000000000000001E-3</v>
      </c>
      <c r="AE30" s="14">
        <v>0.90269999999999995</v>
      </c>
      <c r="AF30" s="14">
        <v>1.1299999999999999E-2</v>
      </c>
      <c r="AG30" s="14">
        <v>0.46429999999999999</v>
      </c>
      <c r="AH30" s="14">
        <v>1.11E-2</v>
      </c>
      <c r="AI30" s="14">
        <v>0.61309999999999998</v>
      </c>
      <c r="AJ30" s="14">
        <v>8.9999999999999993E-3</v>
      </c>
      <c r="AK30" s="14">
        <v>0.96650000000000003</v>
      </c>
      <c r="AL30" s="14">
        <v>1.9E-3</v>
      </c>
      <c r="AM30" s="14">
        <v>5.16</v>
      </c>
      <c r="AN30" s="15">
        <v>120.9</v>
      </c>
      <c r="AR30" t="s">
        <v>31</v>
      </c>
      <c r="AS30">
        <v>3.3750000000000002E-2</v>
      </c>
      <c r="AT30" s="36" t="b">
        <v>1</v>
      </c>
      <c r="AU30" t="s">
        <v>437</v>
      </c>
    </row>
    <row r="31" spans="5:76" x14ac:dyDescent="0.25">
      <c r="E31" s="171"/>
      <c r="F31" s="165"/>
      <c r="G31" s="1" t="s">
        <v>6</v>
      </c>
      <c r="H31" s="1">
        <v>0.99329999999999996</v>
      </c>
      <c r="I31" s="1">
        <v>8.0000000000000004E-4</v>
      </c>
      <c r="J31" s="1">
        <v>0.98729999999999996</v>
      </c>
      <c r="K31" s="1">
        <v>6.9999999999999999E-4</v>
      </c>
      <c r="L31" s="1">
        <v>0.98599999999999999</v>
      </c>
      <c r="M31" s="1">
        <v>3.2000000000000002E-3</v>
      </c>
      <c r="N31" s="1">
        <v>0.98660000000000003</v>
      </c>
      <c r="O31" s="1">
        <v>1.6000000000000001E-3</v>
      </c>
      <c r="P31" s="1">
        <v>0.99639999999999995</v>
      </c>
      <c r="Q31" s="1">
        <v>1E-3</v>
      </c>
      <c r="R31" s="1">
        <v>981.2</v>
      </c>
      <c r="S31" s="41">
        <v>3874.1</v>
      </c>
      <c r="Z31" s="196"/>
      <c r="AA31" s="168"/>
      <c r="AB31" s="90" t="s">
        <v>8</v>
      </c>
      <c r="AC31" s="14">
        <v>0.84319999999999995</v>
      </c>
      <c r="AD31" s="14">
        <v>1.1999999999999999E-3</v>
      </c>
      <c r="AE31" s="14">
        <v>0.98080000000000001</v>
      </c>
      <c r="AF31" s="14">
        <v>1.8800000000000001E-2</v>
      </c>
      <c r="AG31" s="14">
        <v>6.7900000000000002E-2</v>
      </c>
      <c r="AH31" s="14">
        <v>8.5000000000000006E-3</v>
      </c>
      <c r="AI31" s="14">
        <v>0.1268</v>
      </c>
      <c r="AJ31" s="14">
        <v>1.4500000000000001E-2</v>
      </c>
      <c r="AK31" s="14">
        <v>0.92910000000000004</v>
      </c>
      <c r="AL31" s="14">
        <v>3.5999999999999999E-3</v>
      </c>
      <c r="AM31" s="14">
        <v>1.02</v>
      </c>
      <c r="AN31" s="15">
        <v>0.1</v>
      </c>
      <c r="AR31" t="s">
        <v>32</v>
      </c>
      <c r="AS31">
        <v>5.799E-2</v>
      </c>
      <c r="AT31" s="36" t="b">
        <v>0</v>
      </c>
      <c r="AU31" t="s">
        <v>437</v>
      </c>
    </row>
    <row r="32" spans="5:76" ht="15.75" thickBot="1" x14ac:dyDescent="0.3">
      <c r="E32" s="171"/>
      <c r="F32" s="165"/>
      <c r="G32" s="1" t="s">
        <v>7</v>
      </c>
      <c r="H32" s="1">
        <v>0.99339999999999995</v>
      </c>
      <c r="I32" s="1">
        <v>5.0000000000000001E-4</v>
      </c>
      <c r="J32" s="1">
        <v>0.98799999999999999</v>
      </c>
      <c r="K32" s="1">
        <v>1.2999999999999999E-3</v>
      </c>
      <c r="L32" s="1">
        <v>0.98599999999999999</v>
      </c>
      <c r="M32" s="1">
        <v>2.7000000000000001E-3</v>
      </c>
      <c r="N32" s="1">
        <v>0.98699999999999999</v>
      </c>
      <c r="O32" s="1">
        <v>1.1000000000000001E-3</v>
      </c>
      <c r="P32" s="1">
        <v>0.99790000000000001</v>
      </c>
      <c r="Q32" s="1">
        <v>5.9999999999999995E-4</v>
      </c>
      <c r="R32" s="1">
        <v>1233.53</v>
      </c>
      <c r="S32" s="41">
        <v>3863.2</v>
      </c>
      <c r="Z32" s="196"/>
      <c r="AA32" s="169"/>
      <c r="AB32" s="91" t="s">
        <v>9</v>
      </c>
      <c r="AC32" s="16">
        <v>0.93400000000000005</v>
      </c>
      <c r="AD32" s="16">
        <v>3.3E-3</v>
      </c>
      <c r="AE32" s="16">
        <v>0.83409999999999995</v>
      </c>
      <c r="AF32" s="16">
        <v>1.6E-2</v>
      </c>
      <c r="AG32" s="16">
        <v>0.75860000000000005</v>
      </c>
      <c r="AH32" s="16">
        <v>1.5900000000000001E-2</v>
      </c>
      <c r="AI32" s="16">
        <v>0.79430000000000001</v>
      </c>
      <c r="AJ32" s="16">
        <v>0.01</v>
      </c>
      <c r="AK32" s="16">
        <v>0.96819999999999995</v>
      </c>
      <c r="AL32" s="16">
        <v>3.8E-3</v>
      </c>
      <c r="AM32" s="16">
        <v>1602.02</v>
      </c>
      <c r="AN32" s="17">
        <v>197.4</v>
      </c>
      <c r="AR32" t="s">
        <v>33</v>
      </c>
      <c r="AS32">
        <v>7.0410000000000004E-4</v>
      </c>
      <c r="AT32" s="36" t="b">
        <v>1</v>
      </c>
      <c r="AU32" t="s">
        <v>437</v>
      </c>
    </row>
    <row r="33" spans="5:47" x14ac:dyDescent="0.25">
      <c r="E33" s="171"/>
      <c r="F33" s="165"/>
      <c r="G33" s="1" t="s">
        <v>18</v>
      </c>
      <c r="H33" s="1">
        <v>0.99139999999999995</v>
      </c>
      <c r="I33" s="1">
        <v>5.9999999999999995E-4</v>
      </c>
      <c r="J33" s="1">
        <v>0.97640000000000005</v>
      </c>
      <c r="K33" s="1">
        <v>2.2000000000000001E-3</v>
      </c>
      <c r="L33" s="1">
        <v>0.9899</v>
      </c>
      <c r="M33" s="1">
        <v>3.3999999999999998E-3</v>
      </c>
      <c r="N33" s="1">
        <v>0.98309999999999997</v>
      </c>
      <c r="O33" s="1">
        <v>1.2999999999999999E-3</v>
      </c>
      <c r="P33" s="1">
        <v>0.99260000000000004</v>
      </c>
      <c r="Q33" s="1">
        <v>6.9999999999999999E-4</v>
      </c>
      <c r="R33" s="1">
        <v>375.24</v>
      </c>
      <c r="S33" s="41">
        <v>3859.1</v>
      </c>
      <c r="Z33" s="196"/>
      <c r="AA33" s="168" t="s">
        <v>17</v>
      </c>
      <c r="AB33" s="130" t="s">
        <v>5</v>
      </c>
      <c r="AC33" s="127" cm="1">
        <f t="array" ref="AC33:AN37">H72:S76</f>
        <v>0.97850000000000004</v>
      </c>
      <c r="AD33" s="127">
        <v>6.6E-3</v>
      </c>
      <c r="AE33" s="127">
        <v>0.95660000000000001</v>
      </c>
      <c r="AF33" s="127">
        <v>1.4800000000000001E-2</v>
      </c>
      <c r="AG33" s="127">
        <v>0.97</v>
      </c>
      <c r="AH33" s="127">
        <v>1.4E-2</v>
      </c>
      <c r="AI33" s="127">
        <v>0.96319999999999995</v>
      </c>
      <c r="AJ33" s="127">
        <v>1.12E-2</v>
      </c>
      <c r="AK33" s="127">
        <v>0.997</v>
      </c>
      <c r="AL33" s="127">
        <v>8.9999999999999998E-4</v>
      </c>
      <c r="AM33" s="127">
        <v>2.08</v>
      </c>
      <c r="AN33" s="128">
        <v>32.700000000000003</v>
      </c>
      <c r="AR33" t="s">
        <v>34</v>
      </c>
      <c r="AS33">
        <v>0.17</v>
      </c>
      <c r="AT33" s="36" t="b">
        <v>0</v>
      </c>
      <c r="AU33" t="s">
        <v>437</v>
      </c>
    </row>
    <row r="34" spans="5:47" ht="15.75" thickBot="1" x14ac:dyDescent="0.3">
      <c r="E34" s="172"/>
      <c r="F34" s="166"/>
      <c r="G34" s="42" t="s">
        <v>9</v>
      </c>
      <c r="H34" s="42">
        <v>0.99339999999999995</v>
      </c>
      <c r="I34" s="42">
        <v>1.1999999999999999E-3</v>
      </c>
      <c r="J34" s="42">
        <v>0.98709999999999998</v>
      </c>
      <c r="K34" s="42">
        <v>2.5000000000000001E-3</v>
      </c>
      <c r="L34" s="42">
        <v>0.98670000000000002</v>
      </c>
      <c r="M34" s="42">
        <v>3.0000000000000001E-3</v>
      </c>
      <c r="N34" s="42">
        <v>0.9869</v>
      </c>
      <c r="O34" s="42">
        <v>2.3999999999999998E-3</v>
      </c>
      <c r="P34" s="42">
        <v>0.99709999999999999</v>
      </c>
      <c r="Q34" s="42">
        <v>1E-3</v>
      </c>
      <c r="R34" s="42">
        <v>693.41</v>
      </c>
      <c r="S34" s="43">
        <v>3877.3</v>
      </c>
      <c r="Z34" s="196"/>
      <c r="AA34" s="168"/>
      <c r="AB34" s="85" t="s">
        <v>6</v>
      </c>
      <c r="AC34" s="20">
        <v>0.98260000000000003</v>
      </c>
      <c r="AD34" s="20">
        <v>6.4000000000000003E-3</v>
      </c>
      <c r="AE34" s="20">
        <v>0.95430000000000004</v>
      </c>
      <c r="AF34" s="20">
        <v>1.6400000000000001E-2</v>
      </c>
      <c r="AG34" s="20">
        <v>0.98750000000000004</v>
      </c>
      <c r="AH34" s="20">
        <v>6.4999999999999997E-3</v>
      </c>
      <c r="AI34" s="20">
        <v>0.97060000000000002</v>
      </c>
      <c r="AJ34" s="20">
        <v>1.0699999999999999E-2</v>
      </c>
      <c r="AK34" s="20">
        <v>0.99829999999999997</v>
      </c>
      <c r="AL34" s="20">
        <v>5.0000000000000001E-4</v>
      </c>
      <c r="AM34" s="20">
        <v>116.53</v>
      </c>
      <c r="AN34" s="21">
        <v>22.9</v>
      </c>
      <c r="AR34" t="s">
        <v>39</v>
      </c>
      <c r="AS34">
        <v>0.13350000000000001</v>
      </c>
      <c r="AT34" s="36" t="b">
        <v>0</v>
      </c>
      <c r="AU34" t="s">
        <v>437</v>
      </c>
    </row>
    <row r="35" spans="5:47" ht="15.75" thickBot="1" x14ac:dyDescent="0.3">
      <c r="E35" s="1"/>
      <c r="F35" s="5"/>
      <c r="G35" s="50"/>
      <c r="H35" s="71"/>
      <c r="I35" s="88"/>
      <c r="J35" s="5"/>
      <c r="K35" s="5"/>
      <c r="L35" s="5"/>
      <c r="M35" s="5"/>
      <c r="N35" s="5"/>
      <c r="O35" s="5"/>
      <c r="P35" s="5"/>
      <c r="Q35" s="5"/>
      <c r="R35" s="5"/>
      <c r="S35" s="72"/>
      <c r="Z35" s="196"/>
      <c r="AA35" s="168"/>
      <c r="AB35" s="85" t="s">
        <v>7</v>
      </c>
      <c r="AC35" s="20">
        <v>0.9698</v>
      </c>
      <c r="AD35" s="20">
        <v>5.1000000000000004E-3</v>
      </c>
      <c r="AE35" s="20">
        <v>0.95669999999999999</v>
      </c>
      <c r="AF35" s="20">
        <v>1.23E-2</v>
      </c>
      <c r="AG35" s="20">
        <v>0.93830000000000002</v>
      </c>
      <c r="AH35" s="20">
        <v>8.8999999999999999E-3</v>
      </c>
      <c r="AI35" s="20">
        <v>0.94740000000000002</v>
      </c>
      <c r="AJ35" s="20">
        <v>8.8000000000000005E-3</v>
      </c>
      <c r="AK35" s="20">
        <v>0.99590000000000001</v>
      </c>
      <c r="AL35" s="20">
        <v>1.1000000000000001E-3</v>
      </c>
      <c r="AM35" s="20">
        <v>3.1</v>
      </c>
      <c r="AN35" s="21">
        <v>22.7</v>
      </c>
      <c r="AR35" t="s">
        <v>40</v>
      </c>
      <c r="AS35">
        <v>5.6280000000000002E-3</v>
      </c>
      <c r="AT35" s="36" t="b">
        <v>1</v>
      </c>
      <c r="AU35" t="s">
        <v>437</v>
      </c>
    </row>
    <row r="36" spans="5:47" ht="15" customHeight="1" x14ac:dyDescent="0.25">
      <c r="E36" s="173" t="s">
        <v>16</v>
      </c>
      <c r="F36" s="189" t="s">
        <v>0</v>
      </c>
      <c r="G36" s="51" t="s">
        <v>5</v>
      </c>
      <c r="H36" s="76">
        <v>0.95440000000000003</v>
      </c>
      <c r="I36" s="92">
        <v>2.8E-3</v>
      </c>
      <c r="J36" s="12">
        <v>0.85529999999999995</v>
      </c>
      <c r="K36" s="12">
        <v>5.1999999999999998E-3</v>
      </c>
      <c r="L36" s="12">
        <v>0.87690000000000001</v>
      </c>
      <c r="M36" s="12">
        <v>1.38E-2</v>
      </c>
      <c r="N36" s="18">
        <v>0.8659</v>
      </c>
      <c r="O36" s="12">
        <v>8.8000000000000005E-3</v>
      </c>
      <c r="P36" s="12">
        <v>0.98219999999999996</v>
      </c>
      <c r="Q36" s="12">
        <v>2.8999999999999998E-3</v>
      </c>
      <c r="R36" s="12">
        <v>2.2000000000000002</v>
      </c>
      <c r="S36" s="13">
        <v>24</v>
      </c>
      <c r="Z36" s="196"/>
      <c r="AA36" s="168"/>
      <c r="AB36" s="85" t="s">
        <v>8</v>
      </c>
      <c r="AC36" s="20">
        <v>0.8639</v>
      </c>
      <c r="AD36" s="20">
        <v>9.9000000000000008E-3</v>
      </c>
      <c r="AE36" s="20">
        <v>0.99850000000000005</v>
      </c>
      <c r="AF36" s="20">
        <v>2.8999999999999998E-3</v>
      </c>
      <c r="AG36" s="20">
        <v>0.53129999999999999</v>
      </c>
      <c r="AH36" s="20">
        <v>3.5400000000000001E-2</v>
      </c>
      <c r="AI36" s="20">
        <v>0.69279999999999997</v>
      </c>
      <c r="AJ36" s="20">
        <v>2.9700000000000001E-2</v>
      </c>
      <c r="AK36" s="20">
        <v>0.99639999999999995</v>
      </c>
      <c r="AL36" s="20">
        <v>1.5E-3</v>
      </c>
      <c r="AM36" s="20">
        <v>1.71</v>
      </c>
      <c r="AN36" s="21">
        <v>14.6</v>
      </c>
      <c r="AR36" t="s">
        <v>35</v>
      </c>
      <c r="AS36">
        <v>5.3220000000000003E-2</v>
      </c>
      <c r="AT36" s="36" t="b">
        <v>0</v>
      </c>
      <c r="AU36" t="s">
        <v>437</v>
      </c>
    </row>
    <row r="37" spans="5:47" ht="15.75" thickBot="1" x14ac:dyDescent="0.3">
      <c r="E37" s="174"/>
      <c r="F37" s="190"/>
      <c r="G37" s="52" t="s">
        <v>6</v>
      </c>
      <c r="H37" s="69">
        <v>0.94610000000000005</v>
      </c>
      <c r="I37" s="90">
        <v>3.0000000000000001E-3</v>
      </c>
      <c r="J37" s="14">
        <v>0.84630000000000005</v>
      </c>
      <c r="K37" s="14">
        <v>7.4999999999999997E-3</v>
      </c>
      <c r="L37" s="14">
        <v>0.83</v>
      </c>
      <c r="M37" s="14">
        <v>1.21E-2</v>
      </c>
      <c r="N37" s="14">
        <v>0.83809999999999996</v>
      </c>
      <c r="O37" s="14">
        <v>9.4000000000000004E-3</v>
      </c>
      <c r="P37" s="14">
        <v>0.97799999999999998</v>
      </c>
      <c r="Q37" s="14">
        <v>2.7000000000000001E-3</v>
      </c>
      <c r="R37" s="14">
        <v>389.21</v>
      </c>
      <c r="S37" s="15">
        <v>15.2</v>
      </c>
      <c r="Z37" s="197"/>
      <c r="AA37" s="169"/>
      <c r="AB37" s="94" t="s">
        <v>9</v>
      </c>
      <c r="AC37" s="22">
        <v>0.98599999999999999</v>
      </c>
      <c r="AD37" s="22">
        <v>3.5999999999999999E-3</v>
      </c>
      <c r="AE37" s="22">
        <v>0.97589999999999999</v>
      </c>
      <c r="AF37" s="22">
        <v>7.9000000000000008E-3</v>
      </c>
      <c r="AG37" s="22">
        <v>0.9758</v>
      </c>
      <c r="AH37" s="22">
        <v>1.1299999999999999E-2</v>
      </c>
      <c r="AI37" s="22">
        <v>0.9758</v>
      </c>
      <c r="AJ37" s="22">
        <v>6.3E-3</v>
      </c>
      <c r="AK37" s="22">
        <v>0.99870000000000003</v>
      </c>
      <c r="AL37" s="22">
        <v>5.0000000000000001E-4</v>
      </c>
      <c r="AM37" s="22">
        <v>613.07000000000005</v>
      </c>
      <c r="AN37" s="23">
        <v>271.7</v>
      </c>
    </row>
    <row r="38" spans="5:47" x14ac:dyDescent="0.25">
      <c r="E38" s="174"/>
      <c r="F38" s="190"/>
      <c r="G38" s="52" t="s">
        <v>7</v>
      </c>
      <c r="H38" s="69">
        <v>0.91790000000000005</v>
      </c>
      <c r="I38" s="90">
        <v>2.3999999999999998E-3</v>
      </c>
      <c r="J38" s="14">
        <v>0.89170000000000005</v>
      </c>
      <c r="K38" s="14">
        <v>5.4000000000000003E-3</v>
      </c>
      <c r="L38" s="14">
        <v>0.58169999999999999</v>
      </c>
      <c r="M38" s="14">
        <v>1.2699999999999999E-2</v>
      </c>
      <c r="N38" s="14">
        <v>0.70399999999999996</v>
      </c>
      <c r="O38" s="14">
        <v>1.0800000000000001E-2</v>
      </c>
      <c r="P38" s="14">
        <v>0.96930000000000005</v>
      </c>
      <c r="Q38" s="14">
        <v>3.3999999999999998E-3</v>
      </c>
      <c r="R38" s="14">
        <v>5.1100000000000003</v>
      </c>
      <c r="S38" s="15">
        <v>126.8</v>
      </c>
      <c r="Z38" s="110"/>
      <c r="AA38" s="109"/>
      <c r="AC38">
        <f t="shared" ref="AC38:AN38" si="1">AVERAGE(AC23:AC37)</f>
        <v>0.92917333333333318</v>
      </c>
      <c r="AD38">
        <f t="shared" si="1"/>
        <v>3.5200000000000001E-3</v>
      </c>
      <c r="AE38">
        <f t="shared" si="1"/>
        <v>0.92765333333333322</v>
      </c>
      <c r="AF38">
        <f t="shared" si="1"/>
        <v>1.0833333333333334E-2</v>
      </c>
      <c r="AG38">
        <f t="shared" si="1"/>
        <v>0.72818666666666654</v>
      </c>
      <c r="AH38">
        <f t="shared" si="1"/>
        <v>1.14E-2</v>
      </c>
      <c r="AI38">
        <f t="shared" si="1"/>
        <v>0.78404666666666656</v>
      </c>
      <c r="AJ38">
        <f t="shared" si="1"/>
        <v>9.5333333333333346E-3</v>
      </c>
      <c r="AK38">
        <f t="shared" si="1"/>
        <v>0.97845333333333318</v>
      </c>
      <c r="AL38">
        <f t="shared" si="1"/>
        <v>1.7400000000000004E-3</v>
      </c>
      <c r="AM38">
        <f t="shared" si="1"/>
        <v>780.69600000000003</v>
      </c>
      <c r="AN38">
        <f t="shared" si="1"/>
        <v>86.36666666666666</v>
      </c>
      <c r="AR38" t="s">
        <v>443</v>
      </c>
      <c r="AS38" s="103">
        <v>3.061E-6</v>
      </c>
      <c r="AT38" s="36" t="b">
        <v>1</v>
      </c>
      <c r="AU38" t="s">
        <v>437</v>
      </c>
    </row>
    <row r="39" spans="5:47" ht="15" customHeight="1" x14ac:dyDescent="0.25">
      <c r="E39" s="174"/>
      <c r="F39" s="190"/>
      <c r="G39" s="52" t="s">
        <v>8</v>
      </c>
      <c r="H39" s="69">
        <v>0.90720000000000001</v>
      </c>
      <c r="I39" s="90">
        <v>2.2000000000000001E-3</v>
      </c>
      <c r="J39" s="14">
        <v>0.90800000000000003</v>
      </c>
      <c r="K39" s="14">
        <v>7.9000000000000008E-3</v>
      </c>
      <c r="L39" s="14">
        <v>0.49790000000000001</v>
      </c>
      <c r="M39" s="14">
        <v>1.0800000000000001E-2</v>
      </c>
      <c r="N39" s="14">
        <v>0.6431</v>
      </c>
      <c r="O39" s="14">
        <v>1.04E-2</v>
      </c>
      <c r="P39" s="14">
        <v>0.95660000000000001</v>
      </c>
      <c r="Q39" s="14">
        <v>4.1999999999999997E-3</v>
      </c>
      <c r="R39" s="14">
        <v>0.93</v>
      </c>
      <c r="S39" s="15">
        <v>0</v>
      </c>
      <c r="Z39" s="110"/>
      <c r="AA39" s="109"/>
      <c r="AR39" t="s">
        <v>444</v>
      </c>
      <c r="AS39" s="103">
        <v>3.061E-6</v>
      </c>
      <c r="AT39" s="36" t="b">
        <v>1</v>
      </c>
      <c r="AU39" t="s">
        <v>437</v>
      </c>
    </row>
    <row r="40" spans="5:47" ht="15.75" customHeight="1" thickBot="1" x14ac:dyDescent="0.3">
      <c r="E40" s="174"/>
      <c r="F40" s="191"/>
      <c r="G40" s="53" t="s">
        <v>9</v>
      </c>
      <c r="H40" s="70">
        <v>0.94130000000000003</v>
      </c>
      <c r="I40" s="91">
        <v>1E-3</v>
      </c>
      <c r="J40" s="16">
        <v>0.84670000000000001</v>
      </c>
      <c r="K40" s="16">
        <v>8.0000000000000002E-3</v>
      </c>
      <c r="L40" s="16">
        <v>0.79490000000000005</v>
      </c>
      <c r="M40" s="16">
        <v>1.5599999999999999E-2</v>
      </c>
      <c r="N40" s="16">
        <v>0.81979999999999997</v>
      </c>
      <c r="O40" s="16">
        <v>5.0000000000000001E-3</v>
      </c>
      <c r="P40" s="16">
        <v>0.97160000000000002</v>
      </c>
      <c r="Q40" s="16">
        <v>3.3E-3</v>
      </c>
      <c r="R40" s="16">
        <v>1606.11</v>
      </c>
      <c r="S40" s="17">
        <v>196.4</v>
      </c>
      <c r="Z40" s="110"/>
      <c r="AA40" s="109"/>
      <c r="AR40" t="s">
        <v>445</v>
      </c>
      <c r="AS40" s="103">
        <v>1.6869999999999999E-6</v>
      </c>
      <c r="AT40" s="36" t="b">
        <v>1</v>
      </c>
      <c r="AU40" t="s">
        <v>437</v>
      </c>
    </row>
    <row r="41" spans="5:47" ht="18.75" customHeight="1" x14ac:dyDescent="0.25">
      <c r="E41" s="174"/>
      <c r="F41" s="154" t="s">
        <v>1</v>
      </c>
      <c r="G41" s="47" t="s">
        <v>5</v>
      </c>
      <c r="H41" s="63">
        <v>0.93030000000000002</v>
      </c>
      <c r="I41" s="84">
        <v>3.7000000000000002E-3</v>
      </c>
      <c r="J41" s="3">
        <v>0.88370000000000004</v>
      </c>
      <c r="K41" s="3">
        <v>1.37E-2</v>
      </c>
      <c r="L41" s="3">
        <v>0.67359999999999998</v>
      </c>
      <c r="M41" s="3">
        <v>1.21E-2</v>
      </c>
      <c r="N41" s="3">
        <v>0.76449999999999996</v>
      </c>
      <c r="O41" s="3">
        <v>1.2800000000000001E-2</v>
      </c>
      <c r="P41" s="3">
        <v>0.97689999999999999</v>
      </c>
      <c r="Q41" s="3">
        <v>3.3E-3</v>
      </c>
      <c r="R41" s="3">
        <v>1.75</v>
      </c>
      <c r="S41" s="64">
        <v>24.2</v>
      </c>
      <c r="Z41" s="195" t="s">
        <v>2</v>
      </c>
      <c r="AA41" s="167" t="s">
        <v>20</v>
      </c>
      <c r="AB41" s="81" t="s">
        <v>5</v>
      </c>
      <c r="AC41" s="60" cm="1">
        <f t="array" ref="AC41:AN45">H15:S19</f>
        <v>0.89890000000000003</v>
      </c>
      <c r="AD41" s="81">
        <v>2.2000000000000001E-3</v>
      </c>
      <c r="AE41" s="6">
        <v>0.83230000000000004</v>
      </c>
      <c r="AF41" s="6">
        <v>6.4999999999999997E-3</v>
      </c>
      <c r="AG41" s="6">
        <v>0.74950000000000006</v>
      </c>
      <c r="AH41" s="6">
        <v>4.5999999999999999E-3</v>
      </c>
      <c r="AI41" s="6">
        <v>0.78869999999999996</v>
      </c>
      <c r="AJ41" s="6">
        <v>4.4000000000000003E-3</v>
      </c>
      <c r="AK41" s="6">
        <v>0.94499999999999995</v>
      </c>
      <c r="AL41" s="6">
        <v>1.6999999999999999E-3</v>
      </c>
      <c r="AM41" s="6">
        <v>37.04</v>
      </c>
      <c r="AN41" s="7">
        <v>238.9</v>
      </c>
      <c r="AR41" t="s">
        <v>446</v>
      </c>
      <c r="AS41" s="103">
        <v>1.6869999999999999E-6</v>
      </c>
      <c r="AT41" s="36" t="b">
        <v>1</v>
      </c>
      <c r="AU41" t="s">
        <v>437</v>
      </c>
    </row>
    <row r="42" spans="5:47" x14ac:dyDescent="0.25">
      <c r="E42" s="174"/>
      <c r="F42" s="154"/>
      <c r="G42" s="48" t="s">
        <v>6</v>
      </c>
      <c r="H42" s="65">
        <v>0.94130000000000003</v>
      </c>
      <c r="I42" s="86">
        <v>3.3E-3</v>
      </c>
      <c r="J42" s="1">
        <v>0.87139999999999995</v>
      </c>
      <c r="K42" s="1">
        <v>1.09E-2</v>
      </c>
      <c r="L42" s="1">
        <v>0.76339999999999997</v>
      </c>
      <c r="M42" s="1">
        <v>1.11E-2</v>
      </c>
      <c r="N42" s="1">
        <v>0.81379999999999997</v>
      </c>
      <c r="O42" s="1">
        <v>1.0699999999999999E-2</v>
      </c>
      <c r="P42" s="1">
        <v>0.97729999999999995</v>
      </c>
      <c r="Q42" s="1">
        <v>3.0000000000000001E-3</v>
      </c>
      <c r="R42" s="1">
        <v>806.69</v>
      </c>
      <c r="S42" s="41">
        <v>2.2999999999999998</v>
      </c>
      <c r="Z42" s="196"/>
      <c r="AA42" s="168"/>
      <c r="AB42" s="82" t="s">
        <v>6</v>
      </c>
      <c r="AC42" s="61">
        <v>0.9083</v>
      </c>
      <c r="AD42" s="82">
        <v>2.3E-3</v>
      </c>
      <c r="AE42" s="8">
        <v>0.83889999999999998</v>
      </c>
      <c r="AF42" s="8">
        <v>4.7999999999999996E-3</v>
      </c>
      <c r="AG42" s="8">
        <v>0.78680000000000005</v>
      </c>
      <c r="AH42" s="8">
        <v>5.3E-3</v>
      </c>
      <c r="AI42" s="8">
        <v>0.81200000000000006</v>
      </c>
      <c r="AJ42" s="8">
        <v>4.7999999999999996E-3</v>
      </c>
      <c r="AK42" s="8">
        <v>0.95199999999999996</v>
      </c>
      <c r="AL42" s="8">
        <v>2.5999999999999999E-3</v>
      </c>
      <c r="AM42" s="8">
        <v>734.43</v>
      </c>
      <c r="AN42" s="9">
        <v>216.6</v>
      </c>
      <c r="AR42" t="s">
        <v>447</v>
      </c>
      <c r="AS42" s="103">
        <v>2.514E-6</v>
      </c>
      <c r="AT42" s="36" t="b">
        <v>1</v>
      </c>
      <c r="AU42" t="s">
        <v>437</v>
      </c>
    </row>
    <row r="43" spans="5:47" x14ac:dyDescent="0.25">
      <c r="E43" s="174"/>
      <c r="F43" s="154"/>
      <c r="G43" s="48" t="s">
        <v>7</v>
      </c>
      <c r="H43" s="66">
        <v>0.90159999999999996</v>
      </c>
      <c r="I43" s="86">
        <v>1.6000000000000001E-3</v>
      </c>
      <c r="J43" s="1">
        <v>0.90269999999999995</v>
      </c>
      <c r="K43" s="1">
        <v>1.1299999999999999E-2</v>
      </c>
      <c r="L43" s="1">
        <v>0.46429999999999999</v>
      </c>
      <c r="M43" s="1">
        <v>1.11E-2</v>
      </c>
      <c r="N43" s="1">
        <v>0.61309999999999998</v>
      </c>
      <c r="O43" s="1">
        <v>8.9999999999999993E-3</v>
      </c>
      <c r="P43" s="1">
        <v>0.96650000000000003</v>
      </c>
      <c r="Q43" s="1">
        <v>1.9E-3</v>
      </c>
      <c r="R43" s="1">
        <v>5.16</v>
      </c>
      <c r="S43" s="41">
        <v>120.9</v>
      </c>
      <c r="Z43" s="196"/>
      <c r="AA43" s="168"/>
      <c r="AB43" s="82" t="s">
        <v>7</v>
      </c>
      <c r="AC43" s="61">
        <v>0.9133</v>
      </c>
      <c r="AD43" s="82">
        <v>3.7000000000000002E-3</v>
      </c>
      <c r="AE43" s="8">
        <v>0.87209999999999999</v>
      </c>
      <c r="AF43" s="8">
        <v>5.1999999999999998E-3</v>
      </c>
      <c r="AG43" s="8">
        <v>0.76819999999999999</v>
      </c>
      <c r="AH43" s="8">
        <v>1.1599999999999999E-2</v>
      </c>
      <c r="AI43" s="8">
        <v>0.81689999999999996</v>
      </c>
      <c r="AJ43" s="8">
        <v>8.6E-3</v>
      </c>
      <c r="AK43" s="8">
        <v>0.9647</v>
      </c>
      <c r="AL43" s="8">
        <v>1.5E-3</v>
      </c>
      <c r="AM43" s="8">
        <v>153.4</v>
      </c>
      <c r="AN43" s="9">
        <v>263.60000000000002</v>
      </c>
    </row>
    <row r="44" spans="5:47" x14ac:dyDescent="0.25">
      <c r="E44" s="174"/>
      <c r="F44" s="154"/>
      <c r="G44" s="48" t="s">
        <v>8</v>
      </c>
      <c r="H44" s="66">
        <v>0.84319999999999995</v>
      </c>
      <c r="I44" s="86">
        <v>1.1999999999999999E-3</v>
      </c>
      <c r="J44" s="1">
        <v>0.98080000000000001</v>
      </c>
      <c r="K44" s="1">
        <v>1.8800000000000001E-2</v>
      </c>
      <c r="L44" s="1">
        <v>6.7900000000000002E-2</v>
      </c>
      <c r="M44" s="1">
        <v>8.5000000000000006E-3</v>
      </c>
      <c r="N44" s="1">
        <v>0.1268</v>
      </c>
      <c r="O44" s="1">
        <v>1.4500000000000001E-2</v>
      </c>
      <c r="P44" s="1">
        <v>0.92910000000000004</v>
      </c>
      <c r="Q44" s="1">
        <v>3.5999999999999999E-3</v>
      </c>
      <c r="R44" s="1">
        <v>1.02</v>
      </c>
      <c r="S44" s="41">
        <v>0.1</v>
      </c>
      <c r="Z44" s="196"/>
      <c r="AA44" s="168"/>
      <c r="AB44" s="82" t="s">
        <v>18</v>
      </c>
      <c r="AC44" s="61">
        <v>0.60309999999999997</v>
      </c>
      <c r="AD44" s="82">
        <v>1.6000000000000001E-3</v>
      </c>
      <c r="AE44" s="8">
        <v>0.37509999999999999</v>
      </c>
      <c r="AF44" s="8">
        <v>1E-3</v>
      </c>
      <c r="AG44" s="8">
        <v>0.86550000000000005</v>
      </c>
      <c r="AH44" s="8">
        <v>6.8999999999999999E-3</v>
      </c>
      <c r="AI44" s="8">
        <v>0.52339999999999998</v>
      </c>
      <c r="AJ44" s="8">
        <v>1.9E-3</v>
      </c>
      <c r="AK44" s="8">
        <v>0.76670000000000005</v>
      </c>
      <c r="AL44" s="8">
        <v>2.3E-3</v>
      </c>
      <c r="AM44" s="8">
        <v>35.11</v>
      </c>
      <c r="AN44" s="9">
        <v>207.6</v>
      </c>
    </row>
    <row r="45" spans="5:47" ht="15.75" customHeight="1" thickBot="1" x14ac:dyDescent="0.3">
      <c r="E45" s="174"/>
      <c r="F45" s="154"/>
      <c r="G45" s="49" t="s">
        <v>9</v>
      </c>
      <c r="H45" s="67">
        <v>0.93400000000000005</v>
      </c>
      <c r="I45" s="87">
        <v>3.3E-3</v>
      </c>
      <c r="J45" s="4">
        <v>0.83409999999999995</v>
      </c>
      <c r="K45" s="4">
        <v>1.6E-2</v>
      </c>
      <c r="L45" s="4">
        <v>0.75860000000000005</v>
      </c>
      <c r="M45" s="4">
        <v>1.5900000000000001E-2</v>
      </c>
      <c r="N45" s="4">
        <v>0.79430000000000001</v>
      </c>
      <c r="O45" s="4">
        <v>0.01</v>
      </c>
      <c r="P45" s="4">
        <v>0.96819999999999995</v>
      </c>
      <c r="Q45" s="4">
        <v>3.8E-3</v>
      </c>
      <c r="R45" s="4">
        <v>1602.02</v>
      </c>
      <c r="S45" s="68">
        <v>197.4</v>
      </c>
      <c r="Z45" s="196"/>
      <c r="AA45" s="168"/>
      <c r="AB45" s="129" t="s">
        <v>9</v>
      </c>
      <c r="AC45" s="131">
        <v>0.91869999999999996</v>
      </c>
      <c r="AD45" s="129">
        <v>1.4E-3</v>
      </c>
      <c r="AE45" s="98">
        <v>0.83699999999999997</v>
      </c>
      <c r="AF45" s="98">
        <v>9.4999999999999998E-3</v>
      </c>
      <c r="AG45" s="98">
        <v>0.84150000000000003</v>
      </c>
      <c r="AH45" s="98">
        <v>1.5100000000000001E-2</v>
      </c>
      <c r="AI45" s="98">
        <v>0.83909999999999996</v>
      </c>
      <c r="AJ45" s="98">
        <v>4.0000000000000001E-3</v>
      </c>
      <c r="AK45" s="98">
        <v>0.9526</v>
      </c>
      <c r="AL45" s="98">
        <v>4.8999999999999998E-3</v>
      </c>
      <c r="AM45" s="98">
        <v>289.37</v>
      </c>
      <c r="AN45" s="126">
        <v>218.6</v>
      </c>
      <c r="AR45" s="143" t="s">
        <v>426</v>
      </c>
      <c r="AS45" s="143"/>
      <c r="AT45" s="143"/>
    </row>
    <row r="46" spans="5:47" ht="15" customHeight="1" x14ac:dyDescent="0.25">
      <c r="E46" s="174"/>
      <c r="F46" s="192" t="s">
        <v>2</v>
      </c>
      <c r="G46" s="51" t="s">
        <v>5</v>
      </c>
      <c r="H46" s="75">
        <v>0.88700000000000001</v>
      </c>
      <c r="I46" s="92">
        <v>4.7000000000000002E-3</v>
      </c>
      <c r="J46" s="12">
        <v>0.7077</v>
      </c>
      <c r="K46" s="12">
        <v>2.3900000000000001E-2</v>
      </c>
      <c r="L46" s="12">
        <v>0.55920000000000003</v>
      </c>
      <c r="M46" s="12">
        <v>1.01E-2</v>
      </c>
      <c r="N46" s="12">
        <v>0.62450000000000006</v>
      </c>
      <c r="O46" s="12">
        <v>1.14E-2</v>
      </c>
      <c r="P46" s="12">
        <v>0.93330000000000002</v>
      </c>
      <c r="Q46" s="12">
        <v>5.0000000000000001E-3</v>
      </c>
      <c r="R46" s="12">
        <v>8.7899999999999991</v>
      </c>
      <c r="S46" s="13">
        <v>76.400000000000006</v>
      </c>
      <c r="Z46" s="196"/>
      <c r="AA46" s="167" t="s">
        <v>21</v>
      </c>
      <c r="AB46" s="92" t="s">
        <v>5</v>
      </c>
      <c r="AC46" s="75" cm="1">
        <f t="array" ref="AC46:AN50">H46:S50</f>
        <v>0.88700000000000001</v>
      </c>
      <c r="AD46" s="92">
        <v>4.7000000000000002E-3</v>
      </c>
      <c r="AE46" s="12">
        <v>0.7077</v>
      </c>
      <c r="AF46" s="12">
        <v>2.3900000000000001E-2</v>
      </c>
      <c r="AG46" s="12">
        <v>0.55920000000000003</v>
      </c>
      <c r="AH46" s="12">
        <v>1.01E-2</v>
      </c>
      <c r="AI46" s="12">
        <v>0.62450000000000006</v>
      </c>
      <c r="AJ46" s="12">
        <v>1.14E-2</v>
      </c>
      <c r="AK46" s="12">
        <v>0.93330000000000002</v>
      </c>
      <c r="AL46" s="12">
        <v>5.0000000000000001E-3</v>
      </c>
      <c r="AM46" s="12">
        <v>8.7899999999999991</v>
      </c>
      <c r="AN46" s="13">
        <v>76.400000000000006</v>
      </c>
      <c r="AR46" s="33" t="s">
        <v>24</v>
      </c>
      <c r="AS46" s="33" t="s">
        <v>427</v>
      </c>
      <c r="AT46" s="33" t="s">
        <v>428</v>
      </c>
      <c r="AU46" s="33" t="s">
        <v>434</v>
      </c>
    </row>
    <row r="47" spans="5:47" x14ac:dyDescent="0.25">
      <c r="E47" s="174"/>
      <c r="F47" s="193"/>
      <c r="G47" s="52" t="s">
        <v>6</v>
      </c>
      <c r="H47" s="69">
        <v>0.8659</v>
      </c>
      <c r="I47" s="90">
        <v>1.8E-3</v>
      </c>
      <c r="J47" s="14">
        <v>0.71740000000000004</v>
      </c>
      <c r="K47" s="14">
        <v>0.02</v>
      </c>
      <c r="L47" s="14">
        <v>0.33329999999999999</v>
      </c>
      <c r="M47" s="14">
        <v>8.6999999999999994E-3</v>
      </c>
      <c r="N47" s="14">
        <v>0.45500000000000002</v>
      </c>
      <c r="O47" s="14">
        <v>6.7000000000000002E-3</v>
      </c>
      <c r="P47" s="14">
        <v>0.91090000000000004</v>
      </c>
      <c r="Q47" s="14">
        <v>5.1000000000000004E-3</v>
      </c>
      <c r="R47" s="14">
        <v>125.92</v>
      </c>
      <c r="S47" s="15">
        <v>74.8</v>
      </c>
      <c r="Z47" s="196"/>
      <c r="AA47" s="168"/>
      <c r="AB47" s="90" t="s">
        <v>6</v>
      </c>
      <c r="AC47" s="69">
        <v>0.8659</v>
      </c>
      <c r="AD47" s="90">
        <v>1.8E-3</v>
      </c>
      <c r="AE47" s="14">
        <v>0.71740000000000004</v>
      </c>
      <c r="AF47" s="14">
        <v>0.02</v>
      </c>
      <c r="AG47" s="14">
        <v>0.33329999999999999</v>
      </c>
      <c r="AH47" s="14">
        <v>8.6999999999999994E-3</v>
      </c>
      <c r="AI47" s="14">
        <v>0.45500000000000002</v>
      </c>
      <c r="AJ47" s="14">
        <v>6.7000000000000002E-3</v>
      </c>
      <c r="AK47" s="14">
        <v>0.91090000000000004</v>
      </c>
      <c r="AL47" s="14">
        <v>5.1000000000000004E-3</v>
      </c>
      <c r="AM47" s="14">
        <v>125.92</v>
      </c>
      <c r="AN47" s="15">
        <v>74.8</v>
      </c>
      <c r="AR47" s="33" t="s">
        <v>430</v>
      </c>
      <c r="AS47" s="33">
        <v>0.93488000000000004</v>
      </c>
      <c r="AT47" s="33">
        <v>0.32240000000000002</v>
      </c>
      <c r="AU47" s="36" t="b">
        <v>1</v>
      </c>
    </row>
    <row r="48" spans="5:47" ht="15" customHeight="1" x14ac:dyDescent="0.25">
      <c r="E48" s="174"/>
      <c r="F48" s="193"/>
      <c r="G48" s="52" t="s">
        <v>7</v>
      </c>
      <c r="H48" s="69">
        <v>0.87919999999999998</v>
      </c>
      <c r="I48" s="90">
        <v>4.5999999999999999E-3</v>
      </c>
      <c r="J48" s="14">
        <v>0.70569999999999999</v>
      </c>
      <c r="K48" s="14">
        <v>2.75E-2</v>
      </c>
      <c r="L48" s="14">
        <v>0.48349999999999999</v>
      </c>
      <c r="M48" s="14">
        <v>7.4999999999999997E-3</v>
      </c>
      <c r="N48" s="14">
        <v>0.5736</v>
      </c>
      <c r="O48" s="14">
        <v>1.03E-2</v>
      </c>
      <c r="P48" s="14">
        <v>0.91810000000000003</v>
      </c>
      <c r="Q48" s="14">
        <v>4.7000000000000002E-3</v>
      </c>
      <c r="R48" s="14">
        <v>64.97</v>
      </c>
      <c r="S48" s="15">
        <v>97.5</v>
      </c>
      <c r="Z48" s="196"/>
      <c r="AA48" s="168"/>
      <c r="AB48" s="90" t="s">
        <v>7</v>
      </c>
      <c r="AC48" s="69">
        <v>0.87919999999999998</v>
      </c>
      <c r="AD48" s="90">
        <v>4.5999999999999999E-3</v>
      </c>
      <c r="AE48" s="14">
        <v>0.70569999999999999</v>
      </c>
      <c r="AF48" s="14">
        <v>2.75E-2</v>
      </c>
      <c r="AG48" s="14">
        <v>0.48349999999999999</v>
      </c>
      <c r="AH48" s="14">
        <v>7.4999999999999997E-3</v>
      </c>
      <c r="AI48" s="14">
        <v>0.5736</v>
      </c>
      <c r="AJ48" s="14">
        <v>1.03E-2</v>
      </c>
      <c r="AK48" s="14">
        <v>0.91810000000000003</v>
      </c>
      <c r="AL48" s="14">
        <v>4.7000000000000002E-3</v>
      </c>
      <c r="AM48" s="14">
        <v>64.97</v>
      </c>
      <c r="AN48" s="15">
        <v>97.5</v>
      </c>
      <c r="AR48" s="33" t="s">
        <v>429</v>
      </c>
      <c r="AS48" s="33">
        <v>0.91300000000000003</v>
      </c>
      <c r="AT48" s="33">
        <v>0.15049999999999999</v>
      </c>
      <c r="AU48" s="36" t="b">
        <v>1</v>
      </c>
    </row>
    <row r="49" spans="5:47" x14ac:dyDescent="0.25">
      <c r="E49" s="174"/>
      <c r="F49" s="193"/>
      <c r="G49" s="52" t="s">
        <v>18</v>
      </c>
      <c r="H49" s="69">
        <v>0.74780000000000002</v>
      </c>
      <c r="I49" s="90">
        <v>1.04E-2</v>
      </c>
      <c r="J49" s="14">
        <v>0.36670000000000003</v>
      </c>
      <c r="K49" s="14">
        <v>1.38E-2</v>
      </c>
      <c r="L49" s="14">
        <v>0.68830000000000002</v>
      </c>
      <c r="M49" s="14">
        <v>1.17E-2</v>
      </c>
      <c r="N49" s="14">
        <v>0.47839999999999999</v>
      </c>
      <c r="O49" s="14">
        <v>1.43E-2</v>
      </c>
      <c r="P49" s="14">
        <v>0.8024</v>
      </c>
      <c r="Q49" s="14">
        <v>1.01E-2</v>
      </c>
      <c r="R49" s="14">
        <v>8.32</v>
      </c>
      <c r="S49" s="15">
        <v>67.8</v>
      </c>
      <c r="Z49" s="196"/>
      <c r="AA49" s="168"/>
      <c r="AB49" s="90" t="s">
        <v>18</v>
      </c>
      <c r="AC49" s="69">
        <v>0.74780000000000002</v>
      </c>
      <c r="AD49" s="90">
        <v>1.04E-2</v>
      </c>
      <c r="AE49" s="14">
        <v>0.36670000000000003</v>
      </c>
      <c r="AF49" s="14">
        <v>1.38E-2</v>
      </c>
      <c r="AG49" s="14">
        <v>0.68830000000000002</v>
      </c>
      <c r="AH49" s="14">
        <v>1.17E-2</v>
      </c>
      <c r="AI49" s="14">
        <v>0.47839999999999999</v>
      </c>
      <c r="AJ49" s="14">
        <v>1.43E-2</v>
      </c>
      <c r="AK49" s="14">
        <v>0.8024</v>
      </c>
      <c r="AL49" s="14">
        <v>1.01E-2</v>
      </c>
      <c r="AM49" s="14">
        <v>8.32</v>
      </c>
      <c r="AN49" s="15">
        <v>67.8</v>
      </c>
      <c r="AR49" s="33" t="s">
        <v>431</v>
      </c>
      <c r="AS49" s="33">
        <v>0.75370999999999999</v>
      </c>
      <c r="AT49" s="33">
        <v>9.9350000000000003E-4</v>
      </c>
      <c r="AU49" s="36" t="b">
        <v>0</v>
      </c>
    </row>
    <row r="50" spans="5:47" ht="15.75" customHeight="1" thickBot="1" x14ac:dyDescent="0.3">
      <c r="E50" s="174"/>
      <c r="F50" s="194"/>
      <c r="G50" s="53" t="s">
        <v>9</v>
      </c>
      <c r="H50" s="74">
        <v>0.89170000000000005</v>
      </c>
      <c r="I50" s="91">
        <v>5.4000000000000003E-3</v>
      </c>
      <c r="J50" s="16">
        <v>0.6895</v>
      </c>
      <c r="K50" s="16">
        <v>4.3799999999999999E-2</v>
      </c>
      <c r="L50" s="16">
        <v>0.6673</v>
      </c>
      <c r="M50" s="16">
        <v>8.72E-2</v>
      </c>
      <c r="N50" s="16">
        <v>0.67200000000000004</v>
      </c>
      <c r="O50" s="16">
        <v>2.9100000000000001E-2</v>
      </c>
      <c r="P50" s="16">
        <v>0.94269999999999998</v>
      </c>
      <c r="Q50" s="16">
        <v>3.5999999999999999E-3</v>
      </c>
      <c r="R50" s="16">
        <v>238.01</v>
      </c>
      <c r="S50" s="17">
        <v>76.599999999999994</v>
      </c>
      <c r="Z50" s="196"/>
      <c r="AA50" s="169"/>
      <c r="AB50" s="91" t="s">
        <v>9</v>
      </c>
      <c r="AC50" s="74">
        <v>0.89170000000000005</v>
      </c>
      <c r="AD50" s="91">
        <v>5.4000000000000003E-3</v>
      </c>
      <c r="AE50" s="16">
        <v>0.6895</v>
      </c>
      <c r="AF50" s="16">
        <v>4.3799999999999999E-2</v>
      </c>
      <c r="AG50" s="16">
        <v>0.6673</v>
      </c>
      <c r="AH50" s="16">
        <v>8.72E-2</v>
      </c>
      <c r="AI50" s="16">
        <v>0.67200000000000004</v>
      </c>
      <c r="AJ50" s="16">
        <v>2.9100000000000001E-2</v>
      </c>
      <c r="AK50" s="16">
        <v>0.94269999999999998</v>
      </c>
      <c r="AL50" s="16">
        <v>3.5999999999999999E-3</v>
      </c>
      <c r="AM50" s="16">
        <v>238.01</v>
      </c>
      <c r="AN50" s="17">
        <v>76.599999999999994</v>
      </c>
      <c r="AR50" s="33" t="s">
        <v>432</v>
      </c>
      <c r="AS50" s="33">
        <v>0.86106000000000005</v>
      </c>
      <c r="AT50" s="33">
        <v>2.5000000000000001E-2</v>
      </c>
      <c r="AU50" s="36" t="b">
        <v>0</v>
      </c>
    </row>
    <row r="51" spans="5:47" ht="15" customHeight="1" x14ac:dyDescent="0.25">
      <c r="E51" s="174"/>
      <c r="F51" s="187" t="s">
        <v>3</v>
      </c>
      <c r="G51" s="47" t="s">
        <v>5</v>
      </c>
      <c r="H51" s="63">
        <v>0.8871</v>
      </c>
      <c r="I51" s="84">
        <v>4.7999999999999996E-3</v>
      </c>
      <c r="J51" s="3">
        <v>0.75409999999999999</v>
      </c>
      <c r="K51" s="3">
        <v>2.1899999999999999E-2</v>
      </c>
      <c r="L51" s="3">
        <v>0.48680000000000001</v>
      </c>
      <c r="M51" s="3">
        <v>2.2599999999999999E-2</v>
      </c>
      <c r="N51" s="3">
        <v>0.59140000000000004</v>
      </c>
      <c r="O51" s="3">
        <v>2.0400000000000001E-2</v>
      </c>
      <c r="P51" s="3">
        <v>0.91549999999999998</v>
      </c>
      <c r="Q51" s="3">
        <v>4.1000000000000003E-3</v>
      </c>
      <c r="R51" s="3">
        <v>70.11</v>
      </c>
      <c r="S51" s="64">
        <v>86.7</v>
      </c>
      <c r="Z51" s="196"/>
      <c r="AA51" s="198" t="s">
        <v>17</v>
      </c>
      <c r="AB51" s="130" t="s">
        <v>5</v>
      </c>
      <c r="AC51" s="132" cm="1">
        <f t="array" ref="AC51:AN55">H77:S81</f>
        <v>0.95309999999999995</v>
      </c>
      <c r="AD51" s="130">
        <v>8.3000000000000001E-3</v>
      </c>
      <c r="AE51" s="127">
        <v>0.90129999999999999</v>
      </c>
      <c r="AF51" s="127">
        <v>1.9300000000000001E-2</v>
      </c>
      <c r="AG51" s="127">
        <v>0.94159999999999999</v>
      </c>
      <c r="AH51" s="127">
        <v>9.4000000000000004E-3</v>
      </c>
      <c r="AI51" s="127">
        <v>0.92100000000000004</v>
      </c>
      <c r="AJ51" s="127">
        <v>1.34E-2</v>
      </c>
      <c r="AK51" s="127">
        <v>0.98939999999999995</v>
      </c>
      <c r="AL51" s="127">
        <v>2.5000000000000001E-3</v>
      </c>
      <c r="AM51" s="127">
        <v>21.6</v>
      </c>
      <c r="AN51" s="128">
        <v>94.5</v>
      </c>
      <c r="AR51" s="33" t="s">
        <v>433</v>
      </c>
      <c r="AS51" s="33">
        <v>0.66896</v>
      </c>
      <c r="AT51" s="33">
        <v>1.18E-4</v>
      </c>
      <c r="AU51" s="36" t="b">
        <v>0</v>
      </c>
    </row>
    <row r="52" spans="5:47" x14ac:dyDescent="0.25">
      <c r="E52" s="174"/>
      <c r="F52" s="187"/>
      <c r="G52" s="48" t="s">
        <v>6</v>
      </c>
      <c r="H52" s="66">
        <v>0.90110000000000001</v>
      </c>
      <c r="I52" s="86">
        <v>2.5000000000000001E-3</v>
      </c>
      <c r="J52" s="1">
        <v>0.79039999999999999</v>
      </c>
      <c r="K52" s="1">
        <v>9.7000000000000003E-3</v>
      </c>
      <c r="L52" s="1">
        <v>0.5595</v>
      </c>
      <c r="M52" s="1">
        <v>1.21E-2</v>
      </c>
      <c r="N52" s="1">
        <v>0.65510000000000002</v>
      </c>
      <c r="O52" s="1">
        <v>1.03E-2</v>
      </c>
      <c r="P52" s="1">
        <v>0.9254</v>
      </c>
      <c r="Q52" s="1">
        <v>4.4000000000000003E-3</v>
      </c>
      <c r="R52" s="1">
        <v>174.14</v>
      </c>
      <c r="S52" s="41">
        <v>154.69999999999999</v>
      </c>
      <c r="Z52" s="196"/>
      <c r="AA52" s="198"/>
      <c r="AB52" s="85" t="s">
        <v>6</v>
      </c>
      <c r="AC52" s="65">
        <v>0.9516</v>
      </c>
      <c r="AD52" s="85">
        <v>7.4999999999999997E-3</v>
      </c>
      <c r="AE52" s="20">
        <v>0.88590000000000002</v>
      </c>
      <c r="AF52" s="20">
        <v>1.5900000000000001E-2</v>
      </c>
      <c r="AG52" s="20">
        <v>0.95660000000000001</v>
      </c>
      <c r="AH52" s="20">
        <v>8.0999999999999996E-3</v>
      </c>
      <c r="AI52" s="20">
        <v>0.91990000000000005</v>
      </c>
      <c r="AJ52" s="20">
        <v>1.1900000000000001E-2</v>
      </c>
      <c r="AK52" s="20">
        <v>0.99080000000000001</v>
      </c>
      <c r="AL52" s="20">
        <v>1.6999999999999999E-3</v>
      </c>
      <c r="AM52" s="20">
        <v>25.24</v>
      </c>
      <c r="AN52" s="21">
        <v>94.5</v>
      </c>
    </row>
    <row r="53" spans="5:47" x14ac:dyDescent="0.25">
      <c r="E53" s="174"/>
      <c r="F53" s="187"/>
      <c r="G53" s="48" t="s">
        <v>7</v>
      </c>
      <c r="H53" s="66">
        <v>0.87029999999999996</v>
      </c>
      <c r="I53" s="86">
        <v>2.2000000000000001E-3</v>
      </c>
      <c r="J53" s="1">
        <v>0.80649999999999999</v>
      </c>
      <c r="K53" s="1">
        <v>2.0400000000000001E-2</v>
      </c>
      <c r="L53" s="1">
        <v>0.29970000000000002</v>
      </c>
      <c r="M53" s="1">
        <v>1.0800000000000001E-2</v>
      </c>
      <c r="N53" s="1">
        <v>0.43690000000000001</v>
      </c>
      <c r="O53" s="1">
        <v>1.2200000000000001E-2</v>
      </c>
      <c r="P53" s="1">
        <v>0.86680000000000001</v>
      </c>
      <c r="Q53" s="1">
        <v>6.7000000000000002E-3</v>
      </c>
      <c r="R53" s="1">
        <v>129.32</v>
      </c>
      <c r="S53" s="41">
        <v>77.900000000000006</v>
      </c>
      <c r="Z53" s="196"/>
      <c r="AA53" s="198"/>
      <c r="AB53" s="85" t="s">
        <v>7</v>
      </c>
      <c r="AC53" s="65">
        <v>0.96809999999999996</v>
      </c>
      <c r="AD53" s="85">
        <v>5.0000000000000001E-3</v>
      </c>
      <c r="AE53" s="20">
        <v>0.93389999999999995</v>
      </c>
      <c r="AF53" s="20">
        <v>1.84E-2</v>
      </c>
      <c r="AG53" s="20">
        <v>0.95830000000000004</v>
      </c>
      <c r="AH53" s="20">
        <v>8.3000000000000001E-3</v>
      </c>
      <c r="AI53" s="20">
        <v>0.94579999999999997</v>
      </c>
      <c r="AJ53" s="20">
        <v>7.9000000000000008E-3</v>
      </c>
      <c r="AK53" s="20">
        <v>0.99409999999999998</v>
      </c>
      <c r="AL53" s="20">
        <v>8.9999999999999998E-4</v>
      </c>
      <c r="AM53" s="20">
        <v>30.01</v>
      </c>
      <c r="AN53" s="21">
        <v>93.3</v>
      </c>
    </row>
    <row r="54" spans="5:47" x14ac:dyDescent="0.25">
      <c r="E54" s="174"/>
      <c r="F54" s="187"/>
      <c r="G54" s="48" t="s">
        <v>18</v>
      </c>
      <c r="H54" s="66">
        <v>0.80500000000000005</v>
      </c>
      <c r="I54" s="86">
        <v>9.1000000000000004E-3</v>
      </c>
      <c r="J54" s="1">
        <v>0.43919999999999998</v>
      </c>
      <c r="K54" s="1">
        <v>2.0199999999999999E-2</v>
      </c>
      <c r="L54" s="1">
        <v>0.57840000000000003</v>
      </c>
      <c r="M54" s="1">
        <v>2.23E-2</v>
      </c>
      <c r="N54" s="1">
        <v>0.49919999999999998</v>
      </c>
      <c r="O54" s="1">
        <v>2.0400000000000001E-2</v>
      </c>
      <c r="P54" s="1">
        <v>0.81459999999999999</v>
      </c>
      <c r="Q54" s="1">
        <v>1.44E-2</v>
      </c>
      <c r="R54" s="1">
        <v>70</v>
      </c>
      <c r="S54" s="41">
        <v>77.900000000000006</v>
      </c>
      <c r="Z54" s="196"/>
      <c r="AA54" s="198"/>
      <c r="AB54" s="85" t="s">
        <v>18</v>
      </c>
      <c r="AC54" s="65">
        <v>0.87229999999999996</v>
      </c>
      <c r="AD54" s="85">
        <v>6.4999999999999997E-3</v>
      </c>
      <c r="AE54" s="20">
        <v>0.70150000000000001</v>
      </c>
      <c r="AF54" s="20">
        <v>1.18E-2</v>
      </c>
      <c r="AG54" s="20">
        <v>0.97499999999999998</v>
      </c>
      <c r="AH54" s="20">
        <v>3.7000000000000002E-3</v>
      </c>
      <c r="AI54" s="20">
        <v>0.81579999999999997</v>
      </c>
      <c r="AJ54" s="20">
        <v>7.4999999999999997E-3</v>
      </c>
      <c r="AK54" s="20">
        <v>0.95230000000000004</v>
      </c>
      <c r="AL54" s="20">
        <v>2.3999999999999998E-3</v>
      </c>
      <c r="AM54" s="20">
        <v>21.46</v>
      </c>
      <c r="AN54" s="21">
        <v>94.9</v>
      </c>
    </row>
    <row r="55" spans="5:47" ht="15.75" thickBot="1" x14ac:dyDescent="0.3">
      <c r="E55" s="174"/>
      <c r="F55" s="187"/>
      <c r="G55" s="49" t="s">
        <v>9</v>
      </c>
      <c r="H55" s="67">
        <v>0.88839999999999997</v>
      </c>
      <c r="I55" s="87">
        <v>4.1000000000000003E-3</v>
      </c>
      <c r="J55" s="4">
        <v>0.68369999999999997</v>
      </c>
      <c r="K55" s="4">
        <v>1.0999999999999999E-2</v>
      </c>
      <c r="L55" s="4">
        <v>0.62460000000000004</v>
      </c>
      <c r="M55" s="4">
        <v>2.1999999999999999E-2</v>
      </c>
      <c r="N55" s="4">
        <v>0.65269999999999995</v>
      </c>
      <c r="O55" s="4">
        <v>1.5699999999999999E-2</v>
      </c>
      <c r="P55" s="4">
        <v>0.89070000000000005</v>
      </c>
      <c r="Q55" s="4">
        <v>3.8999999999999998E-3</v>
      </c>
      <c r="R55" s="4">
        <v>196.16</v>
      </c>
      <c r="S55" s="68">
        <v>84.1</v>
      </c>
      <c r="Z55" s="197"/>
      <c r="AA55" s="199"/>
      <c r="AB55" s="94" t="s">
        <v>9</v>
      </c>
      <c r="AC55" s="70">
        <v>0.97070000000000001</v>
      </c>
      <c r="AD55" s="94">
        <v>9.7999999999999997E-3</v>
      </c>
      <c r="AE55" s="22">
        <v>0.95469999999999999</v>
      </c>
      <c r="AF55" s="22">
        <v>1.7500000000000002E-2</v>
      </c>
      <c r="AG55" s="22">
        <v>0.94410000000000005</v>
      </c>
      <c r="AH55" s="22">
        <v>2.4500000000000001E-2</v>
      </c>
      <c r="AI55" s="22">
        <v>0.94920000000000004</v>
      </c>
      <c r="AJ55" s="22">
        <v>1.7000000000000001E-2</v>
      </c>
      <c r="AK55" s="22">
        <v>0.99439999999999995</v>
      </c>
      <c r="AL55" s="22">
        <v>2.5000000000000001E-3</v>
      </c>
      <c r="AM55" s="22">
        <v>95.7</v>
      </c>
      <c r="AN55" s="23">
        <v>94.5</v>
      </c>
    </row>
    <row r="56" spans="5:47" x14ac:dyDescent="0.25">
      <c r="E56" s="174"/>
      <c r="F56" s="189" t="s">
        <v>4</v>
      </c>
      <c r="G56" s="51" t="s">
        <v>5</v>
      </c>
      <c r="H56" s="75">
        <v>0.90459999999999996</v>
      </c>
      <c r="I56" s="92">
        <v>2.8999999999999998E-3</v>
      </c>
      <c r="J56" s="12">
        <v>0.75190000000000001</v>
      </c>
      <c r="K56" s="12">
        <v>1.46E-2</v>
      </c>
      <c r="L56" s="12">
        <v>0.64500000000000002</v>
      </c>
      <c r="M56" s="12">
        <v>1.2800000000000001E-2</v>
      </c>
      <c r="N56" s="12">
        <v>0.69420000000000004</v>
      </c>
      <c r="O56" s="12">
        <v>8.6E-3</v>
      </c>
      <c r="P56" s="12">
        <v>0.93869999999999998</v>
      </c>
      <c r="Q56" s="12">
        <v>3.3E-3</v>
      </c>
      <c r="R56" s="12">
        <v>28.88</v>
      </c>
      <c r="S56" s="13">
        <v>1119.7</v>
      </c>
      <c r="AB56" s="25"/>
      <c r="AC56">
        <f t="shared" ref="AC56:AN56" si="2">AVERAGE(AC41:AC55)</f>
        <v>0.88197999999999988</v>
      </c>
      <c r="AD56">
        <f t="shared" si="2"/>
        <v>5.0133333333333332E-3</v>
      </c>
      <c r="AE56">
        <f t="shared" si="2"/>
        <v>0.75464666666666658</v>
      </c>
      <c r="AF56">
        <f t="shared" si="2"/>
        <v>1.5926666666666665E-2</v>
      </c>
      <c r="AG56">
        <f t="shared" si="2"/>
        <v>0.76791333333333334</v>
      </c>
      <c r="AH56">
        <f t="shared" si="2"/>
        <v>1.4846666666666668E-2</v>
      </c>
      <c r="AI56">
        <f t="shared" si="2"/>
        <v>0.74235333333333331</v>
      </c>
      <c r="AJ56">
        <f t="shared" si="2"/>
        <v>1.0213333333333333E-2</v>
      </c>
      <c r="AK56">
        <f t="shared" si="2"/>
        <v>0.93396000000000001</v>
      </c>
      <c r="AL56">
        <f t="shared" si="2"/>
        <v>3.4333333333333329E-3</v>
      </c>
      <c r="AM56">
        <f t="shared" si="2"/>
        <v>125.958</v>
      </c>
      <c r="AN56">
        <f t="shared" si="2"/>
        <v>134.00666666666666</v>
      </c>
    </row>
    <row r="57" spans="5:47" ht="15.75" customHeight="1" x14ac:dyDescent="0.25">
      <c r="E57" s="174"/>
      <c r="F57" s="190"/>
      <c r="G57" s="52" t="s">
        <v>6</v>
      </c>
      <c r="H57" s="69">
        <v>0.90259999999999996</v>
      </c>
      <c r="I57" s="90">
        <v>3.8999999999999998E-3</v>
      </c>
      <c r="J57" s="14">
        <v>0.81040000000000001</v>
      </c>
      <c r="K57" s="14">
        <v>1.9400000000000001E-2</v>
      </c>
      <c r="L57" s="14">
        <v>0.54830000000000001</v>
      </c>
      <c r="M57" s="14">
        <v>1.6E-2</v>
      </c>
      <c r="N57" s="14">
        <v>0.65400000000000003</v>
      </c>
      <c r="O57" s="14">
        <v>1.47E-2</v>
      </c>
      <c r="P57" s="14">
        <v>0.93589999999999995</v>
      </c>
      <c r="Q57" s="14">
        <v>3.3E-3</v>
      </c>
      <c r="R57" s="14">
        <v>1013.48</v>
      </c>
      <c r="S57" s="15">
        <v>1181</v>
      </c>
    </row>
    <row r="58" spans="5:47" ht="15.75" thickBot="1" x14ac:dyDescent="0.3">
      <c r="E58" s="174"/>
      <c r="F58" s="190"/>
      <c r="G58" s="52" t="s">
        <v>7</v>
      </c>
      <c r="H58" s="69">
        <v>0.86750000000000005</v>
      </c>
      <c r="I58" s="90">
        <v>4.1999999999999997E-3</v>
      </c>
      <c r="J58" s="14">
        <v>0.85389999999999999</v>
      </c>
      <c r="K58" s="14">
        <v>2.8000000000000001E-2</v>
      </c>
      <c r="L58" s="14">
        <v>0.255</v>
      </c>
      <c r="M58" s="14">
        <v>2.2599999999999999E-2</v>
      </c>
      <c r="N58" s="14">
        <v>0.39219999999999999</v>
      </c>
      <c r="O58" s="14">
        <v>2.8799999999999999E-2</v>
      </c>
      <c r="P58" s="14">
        <v>0.88539999999999996</v>
      </c>
      <c r="Q58" s="14">
        <v>8.0999999999999996E-3</v>
      </c>
      <c r="R58" s="14">
        <v>307.79000000000002</v>
      </c>
      <c r="S58" s="15">
        <v>1060.3</v>
      </c>
    </row>
    <row r="59" spans="5:47" ht="18.75" customHeight="1" x14ac:dyDescent="0.25">
      <c r="E59" s="174"/>
      <c r="F59" s="190"/>
      <c r="G59" s="52" t="s">
        <v>8</v>
      </c>
      <c r="H59" s="69">
        <v>0.78659999999999997</v>
      </c>
      <c r="I59" s="90">
        <v>6.3E-3</v>
      </c>
      <c r="J59" s="14">
        <v>0.42309999999999998</v>
      </c>
      <c r="K59" s="14">
        <v>1.03E-2</v>
      </c>
      <c r="L59" s="14">
        <v>0.74380000000000002</v>
      </c>
      <c r="M59" s="14">
        <v>2.1700000000000001E-2</v>
      </c>
      <c r="N59" s="14">
        <v>0.5393</v>
      </c>
      <c r="O59" s="14">
        <v>1.2800000000000001E-2</v>
      </c>
      <c r="P59" s="14">
        <v>0.84619999999999995</v>
      </c>
      <c r="Q59" s="14">
        <v>9.4000000000000004E-3</v>
      </c>
      <c r="R59" s="14">
        <v>21.75</v>
      </c>
      <c r="S59" s="15">
        <v>1059.0999999999999</v>
      </c>
      <c r="Z59" s="195" t="s">
        <v>3</v>
      </c>
      <c r="AA59" s="167" t="s">
        <v>20</v>
      </c>
      <c r="AB59" s="81" t="s">
        <v>5</v>
      </c>
      <c r="AC59" s="6" cm="1">
        <f t="array" ref="AC59:AN63">H20:S24</f>
        <v>0.84009999999999996</v>
      </c>
      <c r="AD59" s="6">
        <v>3.3999999999999998E-3</v>
      </c>
      <c r="AE59" s="6">
        <v>0.78480000000000005</v>
      </c>
      <c r="AF59" s="6">
        <v>1.2999999999999999E-2</v>
      </c>
      <c r="AG59" s="6">
        <v>0.50280000000000002</v>
      </c>
      <c r="AH59" s="6">
        <v>6.4000000000000003E-3</v>
      </c>
      <c r="AI59" s="6">
        <v>0.6129</v>
      </c>
      <c r="AJ59" s="6">
        <v>7.6E-3</v>
      </c>
      <c r="AK59" s="6">
        <v>0.87890000000000001</v>
      </c>
      <c r="AL59" s="6">
        <v>7.0000000000000001E-3</v>
      </c>
      <c r="AM59" s="6">
        <v>168.35</v>
      </c>
      <c r="AN59" s="7">
        <v>227.3</v>
      </c>
    </row>
    <row r="60" spans="5:47" ht="18.75" customHeight="1" thickBot="1" x14ac:dyDescent="0.3">
      <c r="E60" s="174"/>
      <c r="F60" s="191"/>
      <c r="G60" s="53" t="s">
        <v>9</v>
      </c>
      <c r="H60" s="74">
        <v>0.90010000000000001</v>
      </c>
      <c r="I60" s="91">
        <v>5.1000000000000004E-3</v>
      </c>
      <c r="J60" s="16">
        <v>0.73619999999999997</v>
      </c>
      <c r="K60" s="16">
        <v>4.3099999999999999E-2</v>
      </c>
      <c r="L60" s="16">
        <v>0.64529999999999998</v>
      </c>
      <c r="M60" s="16">
        <v>7.85E-2</v>
      </c>
      <c r="N60" s="16">
        <v>0.6825</v>
      </c>
      <c r="O60" s="16">
        <v>3.0099999999999998E-2</v>
      </c>
      <c r="P60" s="16">
        <v>0.92589999999999995</v>
      </c>
      <c r="Q60" s="16">
        <v>8.3000000000000001E-3</v>
      </c>
      <c r="R60" s="16">
        <v>191.03</v>
      </c>
      <c r="S60" s="17">
        <v>1068.0999999999999</v>
      </c>
      <c r="Z60" s="196"/>
      <c r="AA60" s="168"/>
      <c r="AB60" s="82" t="s">
        <v>6</v>
      </c>
      <c r="AC60" s="8">
        <v>0.8589</v>
      </c>
      <c r="AD60" s="8">
        <v>3.3999999999999998E-3</v>
      </c>
      <c r="AE60" s="8">
        <v>0.81899999999999995</v>
      </c>
      <c r="AF60" s="8">
        <v>7.6E-3</v>
      </c>
      <c r="AG60" s="8">
        <v>0.56440000000000001</v>
      </c>
      <c r="AH60" s="8">
        <v>9.9000000000000008E-3</v>
      </c>
      <c r="AI60" s="8">
        <v>0.66830000000000001</v>
      </c>
      <c r="AJ60" s="8">
        <v>9.1999999999999998E-3</v>
      </c>
      <c r="AK60" s="8">
        <v>0.89300000000000002</v>
      </c>
      <c r="AL60" s="8">
        <v>3.3999999999999998E-3</v>
      </c>
      <c r="AM60" s="8">
        <v>2263.2399999999998</v>
      </c>
      <c r="AN60" s="9">
        <v>233.5</v>
      </c>
    </row>
    <row r="61" spans="5:47" ht="18.75" customHeight="1" x14ac:dyDescent="0.25">
      <c r="E61" s="174"/>
      <c r="F61" s="164" t="s">
        <v>448</v>
      </c>
      <c r="G61" s="39" t="s">
        <v>5</v>
      </c>
      <c r="H61" s="39">
        <v>0.9919</v>
      </c>
      <c r="I61" s="39">
        <v>2.0999999999999999E-3</v>
      </c>
      <c r="J61" s="39">
        <v>0.97940000000000005</v>
      </c>
      <c r="K61" s="39">
        <v>3.0000000000000001E-3</v>
      </c>
      <c r="L61" s="39">
        <v>0.97209999999999996</v>
      </c>
      <c r="M61" s="39">
        <v>1.0999999999999999E-2</v>
      </c>
      <c r="N61" s="39">
        <v>0.97570000000000001</v>
      </c>
      <c r="O61" s="39">
        <v>6.3E-3</v>
      </c>
      <c r="P61" s="39">
        <v>0.99909999999999999</v>
      </c>
      <c r="Q61" s="39">
        <v>5.0000000000000001E-4</v>
      </c>
      <c r="R61" s="39">
        <v>213.59</v>
      </c>
      <c r="S61" s="40">
        <v>3763.2</v>
      </c>
      <c r="Z61" s="196"/>
      <c r="AA61" s="168"/>
      <c r="AB61" s="82" t="s">
        <v>7</v>
      </c>
      <c r="AC61" s="8">
        <v>0.82310000000000005</v>
      </c>
      <c r="AD61" s="8">
        <v>2.5999999999999999E-3</v>
      </c>
      <c r="AE61" s="8">
        <v>0.85780000000000001</v>
      </c>
      <c r="AF61" s="8">
        <v>9.4999999999999998E-3</v>
      </c>
      <c r="AG61" s="8">
        <v>0.35659999999999997</v>
      </c>
      <c r="AH61" s="8">
        <v>7.0000000000000001E-3</v>
      </c>
      <c r="AI61" s="8">
        <v>0.50380000000000003</v>
      </c>
      <c r="AJ61" s="8">
        <v>8.5000000000000006E-3</v>
      </c>
      <c r="AK61" s="8">
        <v>0.87809999999999999</v>
      </c>
      <c r="AL61" s="8">
        <v>2.5000000000000001E-3</v>
      </c>
      <c r="AM61" s="8">
        <v>306.11</v>
      </c>
      <c r="AN61" s="9">
        <v>276.60000000000002</v>
      </c>
    </row>
    <row r="62" spans="5:47" ht="18.75" customHeight="1" x14ac:dyDescent="0.25">
      <c r="E62" s="174"/>
      <c r="F62" s="165"/>
      <c r="G62" s="1" t="s">
        <v>6</v>
      </c>
      <c r="H62" s="1">
        <v>0.99180000000000001</v>
      </c>
      <c r="I62" s="1">
        <v>1.9E-3</v>
      </c>
      <c r="J62" s="1">
        <v>0.98470000000000002</v>
      </c>
      <c r="K62" s="1">
        <v>5.4000000000000003E-3</v>
      </c>
      <c r="L62" s="1">
        <v>0.96609999999999996</v>
      </c>
      <c r="M62" s="1">
        <v>9.4000000000000004E-3</v>
      </c>
      <c r="N62" s="1">
        <v>0.97529999999999994</v>
      </c>
      <c r="O62" s="1">
        <v>5.7000000000000002E-3</v>
      </c>
      <c r="P62" s="1">
        <v>0.99560000000000004</v>
      </c>
      <c r="Q62" s="1">
        <v>1.6999999999999999E-3</v>
      </c>
      <c r="R62" s="1">
        <v>288.51</v>
      </c>
      <c r="S62" s="41">
        <v>3714.1</v>
      </c>
      <c r="Z62" s="196"/>
      <c r="AA62" s="168"/>
      <c r="AB62" s="82" t="s">
        <v>18</v>
      </c>
      <c r="AC62" s="8">
        <v>0.70530000000000004</v>
      </c>
      <c r="AD62" s="8">
        <v>3.5999999999999999E-3</v>
      </c>
      <c r="AE62" s="8">
        <v>0.40360000000000001</v>
      </c>
      <c r="AF62" s="8">
        <v>8.5000000000000006E-3</v>
      </c>
      <c r="AG62" s="8">
        <v>0.35730000000000001</v>
      </c>
      <c r="AH62" s="8">
        <v>1.01E-2</v>
      </c>
      <c r="AI62" s="8">
        <v>0.379</v>
      </c>
      <c r="AJ62" s="8">
        <v>9.2999999999999992E-3</v>
      </c>
      <c r="AK62" s="8">
        <v>0.71009999999999995</v>
      </c>
      <c r="AL62" s="8">
        <v>3.3E-3</v>
      </c>
      <c r="AM62" s="8">
        <v>167.96</v>
      </c>
      <c r="AN62" s="9">
        <v>210.6</v>
      </c>
    </row>
    <row r="63" spans="5:47" ht="18.75" customHeight="1" thickBot="1" x14ac:dyDescent="0.3">
      <c r="E63" s="174"/>
      <c r="F63" s="165"/>
      <c r="G63" s="1" t="s">
        <v>7</v>
      </c>
      <c r="H63" s="1">
        <v>0.99150000000000005</v>
      </c>
      <c r="I63" s="1">
        <v>1.6999999999999999E-3</v>
      </c>
      <c r="J63" s="1">
        <v>0.97940000000000005</v>
      </c>
      <c r="K63" s="1">
        <v>6.0000000000000001E-3</v>
      </c>
      <c r="L63" s="1">
        <v>0.97</v>
      </c>
      <c r="M63" s="1">
        <v>8.0999999999999996E-3</v>
      </c>
      <c r="N63" s="1">
        <v>0.97460000000000002</v>
      </c>
      <c r="O63" s="1">
        <v>5.1999999999999998E-3</v>
      </c>
      <c r="P63" s="1">
        <v>0.99819999999999998</v>
      </c>
      <c r="Q63" s="1">
        <v>1.1000000000000001E-3</v>
      </c>
      <c r="R63" s="1">
        <v>416.84</v>
      </c>
      <c r="S63" s="41">
        <v>3705.6</v>
      </c>
      <c r="Z63" s="196"/>
      <c r="AA63" s="168"/>
      <c r="AB63" s="129" t="s">
        <v>9</v>
      </c>
      <c r="AC63" s="98">
        <v>0.86429999999999996</v>
      </c>
      <c r="AD63" s="98">
        <v>3.5000000000000001E-3</v>
      </c>
      <c r="AE63" s="98">
        <v>0.74119999999999997</v>
      </c>
      <c r="AF63" s="98">
        <v>1.26E-2</v>
      </c>
      <c r="AG63" s="98">
        <v>0.70920000000000005</v>
      </c>
      <c r="AH63" s="98">
        <v>1.7899999999999999E-2</v>
      </c>
      <c r="AI63" s="98">
        <v>0.72460000000000002</v>
      </c>
      <c r="AJ63" s="98">
        <v>7.9000000000000008E-3</v>
      </c>
      <c r="AK63" s="98">
        <v>0.86919999999999997</v>
      </c>
      <c r="AL63" s="98">
        <v>7.4000000000000003E-3</v>
      </c>
      <c r="AM63" s="98">
        <v>310.16000000000003</v>
      </c>
      <c r="AN63" s="126">
        <v>221.3</v>
      </c>
    </row>
    <row r="64" spans="5:47" ht="18.75" customHeight="1" x14ac:dyDescent="0.25">
      <c r="E64" s="174"/>
      <c r="F64" s="165"/>
      <c r="G64" s="1" t="s">
        <v>18</v>
      </c>
      <c r="H64" s="1">
        <v>0.96989999999999998</v>
      </c>
      <c r="I64" s="1">
        <v>2.7000000000000001E-3</v>
      </c>
      <c r="J64" s="1">
        <v>0.85289999999999999</v>
      </c>
      <c r="K64" s="1">
        <v>1.0699999999999999E-2</v>
      </c>
      <c r="L64" s="1">
        <v>0.9919</v>
      </c>
      <c r="M64" s="1">
        <v>3.8999999999999998E-3</v>
      </c>
      <c r="N64" s="1">
        <v>0.91720000000000002</v>
      </c>
      <c r="O64" s="1">
        <v>7.1000000000000004E-3</v>
      </c>
      <c r="P64" s="1">
        <v>0.98109999999999997</v>
      </c>
      <c r="Q64" s="1">
        <v>2.0999999999999999E-3</v>
      </c>
      <c r="R64" s="1">
        <v>212.56</v>
      </c>
      <c r="S64" s="41">
        <v>3702.7</v>
      </c>
      <c r="Z64" s="196"/>
      <c r="AA64" s="167" t="s">
        <v>21</v>
      </c>
      <c r="AB64" s="92" t="s">
        <v>5</v>
      </c>
      <c r="AC64" s="12" cm="1">
        <f t="array" ref="AC64:AN68">H51:S55</f>
        <v>0.8871</v>
      </c>
      <c r="AD64" s="12">
        <v>4.7999999999999996E-3</v>
      </c>
      <c r="AE64" s="12">
        <v>0.75409999999999999</v>
      </c>
      <c r="AF64" s="12">
        <v>2.1899999999999999E-2</v>
      </c>
      <c r="AG64" s="12">
        <v>0.48680000000000001</v>
      </c>
      <c r="AH64" s="12">
        <v>2.2599999999999999E-2</v>
      </c>
      <c r="AI64" s="12">
        <v>0.59140000000000004</v>
      </c>
      <c r="AJ64" s="12">
        <v>2.0400000000000001E-2</v>
      </c>
      <c r="AK64" s="12">
        <v>0.91549999999999998</v>
      </c>
      <c r="AL64" s="12">
        <v>4.1000000000000003E-3</v>
      </c>
      <c r="AM64" s="12">
        <v>70.11</v>
      </c>
      <c r="AN64" s="13">
        <v>86.7</v>
      </c>
    </row>
    <row r="65" spans="5:40" ht="18.75" customHeight="1" thickBot="1" x14ac:dyDescent="0.3">
      <c r="E65" s="175"/>
      <c r="F65" s="166"/>
      <c r="G65" s="42" t="s">
        <v>9</v>
      </c>
      <c r="H65" s="42">
        <v>0.99170000000000003</v>
      </c>
      <c r="I65" s="42">
        <v>1.8E-3</v>
      </c>
      <c r="J65" s="42">
        <v>0.97629999999999995</v>
      </c>
      <c r="K65" s="42">
        <v>6.1000000000000004E-3</v>
      </c>
      <c r="L65" s="42">
        <v>0.97450000000000003</v>
      </c>
      <c r="M65" s="42">
        <v>1.15E-2</v>
      </c>
      <c r="N65" s="42">
        <v>0.97529999999999994</v>
      </c>
      <c r="O65" s="42">
        <v>5.5999999999999999E-3</v>
      </c>
      <c r="P65" s="42">
        <v>0.99870000000000003</v>
      </c>
      <c r="Q65" s="42">
        <v>6.9999999999999999E-4</v>
      </c>
      <c r="R65" s="42">
        <v>327.84</v>
      </c>
      <c r="S65" s="43">
        <v>3720.7</v>
      </c>
      <c r="Z65" s="196"/>
      <c r="AA65" s="168"/>
      <c r="AB65" s="90" t="s">
        <v>6</v>
      </c>
      <c r="AC65" s="14">
        <v>0.90110000000000001</v>
      </c>
      <c r="AD65" s="14">
        <v>2.5000000000000001E-3</v>
      </c>
      <c r="AE65" s="14">
        <v>0.79039999999999999</v>
      </c>
      <c r="AF65" s="14">
        <v>9.7000000000000003E-3</v>
      </c>
      <c r="AG65" s="14">
        <v>0.5595</v>
      </c>
      <c r="AH65" s="14">
        <v>1.21E-2</v>
      </c>
      <c r="AI65" s="14">
        <v>0.65510000000000002</v>
      </c>
      <c r="AJ65" s="14">
        <v>1.03E-2</v>
      </c>
      <c r="AK65" s="14">
        <v>0.9254</v>
      </c>
      <c r="AL65" s="14">
        <v>4.4000000000000003E-3</v>
      </c>
      <c r="AM65" s="14">
        <v>174.14</v>
      </c>
      <c r="AN65" s="15">
        <v>154.69999999999999</v>
      </c>
    </row>
    <row r="66" spans="5:40" ht="18.75" customHeight="1" x14ac:dyDescent="0.25">
      <c r="E66" s="4"/>
      <c r="F66" s="5"/>
      <c r="G66" s="50"/>
      <c r="H66" s="71"/>
      <c r="I66" s="88"/>
      <c r="J66" s="5"/>
      <c r="K66" s="5"/>
      <c r="L66" s="5"/>
      <c r="M66" s="5"/>
      <c r="N66" s="5"/>
      <c r="O66" s="5"/>
      <c r="P66" s="5"/>
      <c r="Q66" s="5"/>
      <c r="R66" s="5"/>
      <c r="S66" s="72"/>
      <c r="Z66" s="196"/>
      <c r="AA66" s="168"/>
      <c r="AB66" s="90" t="s">
        <v>7</v>
      </c>
      <c r="AC66" s="14">
        <v>0.87029999999999996</v>
      </c>
      <c r="AD66" s="14">
        <v>2.2000000000000001E-3</v>
      </c>
      <c r="AE66" s="14">
        <v>0.80649999999999999</v>
      </c>
      <c r="AF66" s="14">
        <v>2.0400000000000001E-2</v>
      </c>
      <c r="AG66" s="14">
        <v>0.29970000000000002</v>
      </c>
      <c r="AH66" s="14">
        <v>1.0800000000000001E-2</v>
      </c>
      <c r="AI66" s="14">
        <v>0.43690000000000001</v>
      </c>
      <c r="AJ66" s="14">
        <v>1.2200000000000001E-2</v>
      </c>
      <c r="AK66" s="14">
        <v>0.86680000000000001</v>
      </c>
      <c r="AL66" s="14">
        <v>6.7000000000000002E-3</v>
      </c>
      <c r="AM66" s="14">
        <v>129.32</v>
      </c>
      <c r="AN66" s="15">
        <v>77.900000000000006</v>
      </c>
    </row>
    <row r="67" spans="5:40" ht="18.75" customHeight="1" x14ac:dyDescent="0.25">
      <c r="E67" s="176" t="s">
        <v>17</v>
      </c>
      <c r="F67" s="179" t="s">
        <v>0</v>
      </c>
      <c r="G67" s="55" t="s">
        <v>5</v>
      </c>
      <c r="H67" s="137">
        <v>0.97460000000000002</v>
      </c>
      <c r="I67" s="85">
        <v>4.1000000000000003E-3</v>
      </c>
      <c r="J67" s="20">
        <v>0.94159999999999999</v>
      </c>
      <c r="K67" s="20">
        <v>1.7999999999999999E-2</v>
      </c>
      <c r="L67" s="20">
        <v>0.97330000000000005</v>
      </c>
      <c r="M67" s="20">
        <v>1.0999999999999999E-2</v>
      </c>
      <c r="N67" s="141">
        <v>0.95699999999999996</v>
      </c>
      <c r="O67" s="20">
        <v>6.6E-3</v>
      </c>
      <c r="P67" s="104">
        <v>0.99299999999999999</v>
      </c>
      <c r="Q67" s="104">
        <v>2.5000000000000001E-3</v>
      </c>
      <c r="R67" s="104">
        <v>3.93</v>
      </c>
      <c r="S67" s="20">
        <v>32.5</v>
      </c>
      <c r="Z67" s="196"/>
      <c r="AA67" s="168"/>
      <c r="AB67" s="90" t="s">
        <v>18</v>
      </c>
      <c r="AC67" s="14">
        <v>0.80500000000000005</v>
      </c>
      <c r="AD67" s="14">
        <v>9.1000000000000004E-3</v>
      </c>
      <c r="AE67" s="14">
        <v>0.43919999999999998</v>
      </c>
      <c r="AF67" s="14">
        <v>2.0199999999999999E-2</v>
      </c>
      <c r="AG67" s="14">
        <v>0.57840000000000003</v>
      </c>
      <c r="AH67" s="14">
        <v>2.23E-2</v>
      </c>
      <c r="AI67" s="14">
        <v>0.49919999999999998</v>
      </c>
      <c r="AJ67" s="14">
        <v>2.0400000000000001E-2</v>
      </c>
      <c r="AK67" s="14">
        <v>0.81459999999999999</v>
      </c>
      <c r="AL67" s="14">
        <v>1.44E-2</v>
      </c>
      <c r="AM67" s="14">
        <v>70</v>
      </c>
      <c r="AN67" s="15">
        <v>77.900000000000006</v>
      </c>
    </row>
    <row r="68" spans="5:40" ht="18.75" customHeight="1" thickBot="1" x14ac:dyDescent="0.3">
      <c r="E68" s="177"/>
      <c r="F68" s="180"/>
      <c r="G68" s="55" t="s">
        <v>6</v>
      </c>
      <c r="H68" s="65">
        <v>0.9587</v>
      </c>
      <c r="I68" s="85">
        <v>6.4000000000000003E-3</v>
      </c>
      <c r="J68" s="20">
        <v>0.90400000000000003</v>
      </c>
      <c r="K68" s="20">
        <v>2.07E-2</v>
      </c>
      <c r="L68" s="20">
        <v>0.96</v>
      </c>
      <c r="M68" s="20">
        <v>4.1999999999999997E-3</v>
      </c>
      <c r="N68" s="20">
        <v>0.93100000000000005</v>
      </c>
      <c r="O68" s="20">
        <v>9.7000000000000003E-3</v>
      </c>
      <c r="P68" s="20">
        <v>0.99060000000000004</v>
      </c>
      <c r="Q68" s="20">
        <v>2.2000000000000001E-3</v>
      </c>
      <c r="R68" s="20">
        <v>70.430000000000007</v>
      </c>
      <c r="S68" s="20">
        <v>25.5</v>
      </c>
      <c r="Z68" s="196"/>
      <c r="AA68" s="169"/>
      <c r="AB68" s="91" t="s">
        <v>9</v>
      </c>
      <c r="AC68" s="16">
        <v>0.88839999999999997</v>
      </c>
      <c r="AD68" s="16">
        <v>4.1000000000000003E-3</v>
      </c>
      <c r="AE68" s="16">
        <v>0.68369999999999997</v>
      </c>
      <c r="AF68" s="16">
        <v>1.0999999999999999E-2</v>
      </c>
      <c r="AG68" s="16">
        <v>0.62460000000000004</v>
      </c>
      <c r="AH68" s="16">
        <v>2.1999999999999999E-2</v>
      </c>
      <c r="AI68" s="16">
        <v>0.65269999999999995</v>
      </c>
      <c r="AJ68" s="16">
        <v>1.5699999999999999E-2</v>
      </c>
      <c r="AK68" s="16">
        <v>0.89070000000000005</v>
      </c>
      <c r="AL68" s="16">
        <v>3.8999999999999998E-3</v>
      </c>
      <c r="AM68" s="16">
        <v>196.16</v>
      </c>
      <c r="AN68" s="17">
        <v>84.1</v>
      </c>
    </row>
    <row r="69" spans="5:40" ht="18.75" customHeight="1" x14ac:dyDescent="0.25">
      <c r="E69" s="177"/>
      <c r="F69" s="180"/>
      <c r="G69" s="55" t="s">
        <v>7</v>
      </c>
      <c r="H69" s="65">
        <v>0.96879999999999999</v>
      </c>
      <c r="I69" s="85">
        <v>2.8E-3</v>
      </c>
      <c r="J69" s="20">
        <v>0.9536</v>
      </c>
      <c r="K69" s="20">
        <v>1.0999999999999999E-2</v>
      </c>
      <c r="L69" s="20">
        <v>0.93830000000000002</v>
      </c>
      <c r="M69" s="20">
        <v>5.5999999999999999E-3</v>
      </c>
      <c r="N69" s="20">
        <v>0.94579999999999997</v>
      </c>
      <c r="O69" s="20">
        <v>4.5999999999999999E-3</v>
      </c>
      <c r="P69" s="20">
        <v>0.99370000000000003</v>
      </c>
      <c r="Q69" s="20">
        <v>1.5E-3</v>
      </c>
      <c r="R69" s="20">
        <v>3.07</v>
      </c>
      <c r="S69" s="20">
        <v>23.4</v>
      </c>
      <c r="Z69" s="196"/>
      <c r="AA69" s="198" t="s">
        <v>17</v>
      </c>
      <c r="AB69" s="130" t="s">
        <v>5</v>
      </c>
      <c r="AC69" s="127" cm="1">
        <f t="array" ref="AC69:AN73">H82:S86</f>
        <v>0.90759999999999996</v>
      </c>
      <c r="AD69" s="127">
        <v>1.09E-2</v>
      </c>
      <c r="AE69" s="127">
        <v>0.91590000000000005</v>
      </c>
      <c r="AF69" s="127">
        <v>1.6799999999999999E-2</v>
      </c>
      <c r="AG69" s="127">
        <v>0.75060000000000004</v>
      </c>
      <c r="AH69" s="127">
        <v>3.7400000000000003E-2</v>
      </c>
      <c r="AI69" s="127">
        <v>0.82450000000000001</v>
      </c>
      <c r="AJ69" s="127">
        <v>2.3099999999999999E-2</v>
      </c>
      <c r="AK69" s="127">
        <v>0.95340000000000003</v>
      </c>
      <c r="AL69" s="127">
        <v>6.7999999999999996E-3</v>
      </c>
      <c r="AM69" s="127">
        <v>15.49</v>
      </c>
      <c r="AN69" s="128">
        <v>97.9</v>
      </c>
    </row>
    <row r="70" spans="5:40" ht="18.75" customHeight="1" x14ac:dyDescent="0.25">
      <c r="E70" s="177"/>
      <c r="F70" s="180"/>
      <c r="G70" s="55" t="s">
        <v>8</v>
      </c>
      <c r="H70" s="65">
        <v>0.97529999999999994</v>
      </c>
      <c r="I70" s="85">
        <v>3.5999999999999999E-3</v>
      </c>
      <c r="J70" s="20">
        <v>0.96609999999999996</v>
      </c>
      <c r="K70" s="20">
        <v>8.9999999999999993E-3</v>
      </c>
      <c r="L70" s="20">
        <v>0.94830000000000003</v>
      </c>
      <c r="M70" s="20">
        <v>8.5000000000000006E-3</v>
      </c>
      <c r="N70" s="20">
        <v>0.95709999999999995</v>
      </c>
      <c r="O70" s="20">
        <v>6.1999999999999998E-3</v>
      </c>
      <c r="P70" s="20">
        <v>0.99429999999999996</v>
      </c>
      <c r="Q70" s="20">
        <v>8.9999999999999998E-4</v>
      </c>
      <c r="R70" s="20">
        <v>1.64</v>
      </c>
      <c r="S70" s="20">
        <v>18.2</v>
      </c>
      <c r="Z70" s="196"/>
      <c r="AA70" s="198"/>
      <c r="AB70" s="85" t="s">
        <v>6</v>
      </c>
      <c r="AC70" s="20">
        <v>0.91339999999999999</v>
      </c>
      <c r="AD70" s="20">
        <v>9.5999999999999992E-3</v>
      </c>
      <c r="AE70" s="20">
        <v>0.94799999999999995</v>
      </c>
      <c r="AF70" s="20">
        <v>1.32E-2</v>
      </c>
      <c r="AG70" s="20">
        <v>0.74229999999999996</v>
      </c>
      <c r="AH70" s="20">
        <v>3.2899999999999999E-2</v>
      </c>
      <c r="AI70" s="20">
        <v>0.83220000000000005</v>
      </c>
      <c r="AJ70" s="20">
        <v>2.1000000000000001E-2</v>
      </c>
      <c r="AK70" s="20">
        <v>0.96060000000000001</v>
      </c>
      <c r="AL70" s="20">
        <v>4.7999999999999996E-3</v>
      </c>
      <c r="AM70" s="20">
        <v>23.58</v>
      </c>
      <c r="AN70" s="21">
        <v>99.2</v>
      </c>
    </row>
    <row r="71" spans="5:40" ht="18.75" customHeight="1" thickBot="1" x14ac:dyDescent="0.3">
      <c r="E71" s="177"/>
      <c r="F71" s="181"/>
      <c r="G71" s="56" t="s">
        <v>9</v>
      </c>
      <c r="H71" s="70">
        <v>0.97629999999999995</v>
      </c>
      <c r="I71" s="94">
        <v>4.5999999999999999E-3</v>
      </c>
      <c r="J71" s="22">
        <v>0.95950000000000002</v>
      </c>
      <c r="K71" s="22">
        <v>1.5800000000000002E-2</v>
      </c>
      <c r="L71" s="22">
        <v>0.95909999999999995</v>
      </c>
      <c r="M71" s="22">
        <v>1.4E-2</v>
      </c>
      <c r="N71" s="140">
        <v>0.95909999999999995</v>
      </c>
      <c r="O71" s="22">
        <v>7.9000000000000008E-3</v>
      </c>
      <c r="P71" s="22">
        <v>0.9919</v>
      </c>
      <c r="Q71" s="22">
        <v>3.8E-3</v>
      </c>
      <c r="R71" s="22">
        <v>537.83000000000004</v>
      </c>
      <c r="S71" s="22">
        <v>272.39999999999998</v>
      </c>
      <c r="Z71" s="196"/>
      <c r="AA71" s="198"/>
      <c r="AB71" s="85" t="s">
        <v>7</v>
      </c>
      <c r="AC71" s="20">
        <v>0.9093</v>
      </c>
      <c r="AD71" s="20">
        <v>8.0000000000000002E-3</v>
      </c>
      <c r="AE71" s="20">
        <v>0.95389999999999997</v>
      </c>
      <c r="AF71" s="20">
        <v>1.8599999999999998E-2</v>
      </c>
      <c r="AG71" s="20">
        <v>0.72309999999999997</v>
      </c>
      <c r="AH71" s="20">
        <v>3.9800000000000002E-2</v>
      </c>
      <c r="AI71" s="20">
        <v>0.8216</v>
      </c>
      <c r="AJ71" s="20">
        <v>2.07E-2</v>
      </c>
      <c r="AK71" s="20">
        <v>0.96640000000000004</v>
      </c>
      <c r="AL71" s="20">
        <v>6.4999999999999997E-3</v>
      </c>
      <c r="AM71" s="20">
        <v>29.3</v>
      </c>
      <c r="AN71" s="21">
        <v>99</v>
      </c>
    </row>
    <row r="72" spans="5:40" ht="18.75" customHeight="1" x14ac:dyDescent="0.25">
      <c r="E72" s="177"/>
      <c r="F72" s="182" t="s">
        <v>1</v>
      </c>
      <c r="G72" s="47" t="s">
        <v>5</v>
      </c>
      <c r="H72" s="63">
        <v>0.97850000000000004</v>
      </c>
      <c r="I72" s="84">
        <v>6.6E-3</v>
      </c>
      <c r="J72" s="3">
        <v>0.95660000000000001</v>
      </c>
      <c r="K72" s="3">
        <v>1.4800000000000001E-2</v>
      </c>
      <c r="L72" s="3">
        <v>0.97</v>
      </c>
      <c r="M72" s="3">
        <v>1.4E-2</v>
      </c>
      <c r="N72" s="3">
        <v>0.96319999999999995</v>
      </c>
      <c r="O72" s="3">
        <v>1.12E-2</v>
      </c>
      <c r="P72" s="3">
        <v>0.997</v>
      </c>
      <c r="Q72" s="3">
        <v>8.9999999999999998E-4</v>
      </c>
      <c r="R72" s="3">
        <v>2.08</v>
      </c>
      <c r="S72" s="3">
        <v>32.700000000000003</v>
      </c>
      <c r="Z72" s="196"/>
      <c r="AA72" s="198"/>
      <c r="AB72" s="85" t="s">
        <v>18</v>
      </c>
      <c r="AC72" s="20">
        <v>0.70289999999999997</v>
      </c>
      <c r="AD72" s="20">
        <v>1.3100000000000001E-2</v>
      </c>
      <c r="AE72" s="20">
        <v>0.48130000000000001</v>
      </c>
      <c r="AF72" s="20">
        <v>3.3300000000000003E-2</v>
      </c>
      <c r="AG72" s="20">
        <v>0.3261</v>
      </c>
      <c r="AH72" s="20">
        <v>3.3399999999999999E-2</v>
      </c>
      <c r="AI72" s="20">
        <v>0.38829999999999998</v>
      </c>
      <c r="AJ72" s="20">
        <v>3.2599999999999997E-2</v>
      </c>
      <c r="AK72" s="20">
        <v>0.67700000000000005</v>
      </c>
      <c r="AL72" s="20">
        <v>1.32E-2</v>
      </c>
      <c r="AM72" s="20">
        <v>15.46</v>
      </c>
      <c r="AN72" s="21">
        <v>96.7</v>
      </c>
    </row>
    <row r="73" spans="5:40" ht="18.75" customHeight="1" thickBot="1" x14ac:dyDescent="0.3">
      <c r="E73" s="177"/>
      <c r="F73" s="158"/>
      <c r="G73" s="48" t="s">
        <v>6</v>
      </c>
      <c r="H73" s="137">
        <v>0.98260000000000003</v>
      </c>
      <c r="I73" s="86">
        <v>6.4000000000000003E-3</v>
      </c>
      <c r="J73" s="1">
        <v>0.95430000000000004</v>
      </c>
      <c r="K73" s="1">
        <v>1.6400000000000001E-2</v>
      </c>
      <c r="L73" s="1">
        <v>0.98750000000000004</v>
      </c>
      <c r="M73" s="1">
        <v>6.4999999999999997E-3</v>
      </c>
      <c r="N73" s="1">
        <v>0.97060000000000002</v>
      </c>
      <c r="O73" s="1">
        <v>1.0699999999999999E-2</v>
      </c>
      <c r="P73" s="1">
        <v>0.99829999999999997</v>
      </c>
      <c r="Q73" s="1">
        <v>5.0000000000000001E-4</v>
      </c>
      <c r="R73" s="1">
        <v>116.53</v>
      </c>
      <c r="S73" s="1">
        <v>22.9</v>
      </c>
      <c r="Z73" s="197"/>
      <c r="AA73" s="199"/>
      <c r="AB73" s="94" t="s">
        <v>9</v>
      </c>
      <c r="AC73" s="22">
        <v>0.94610000000000005</v>
      </c>
      <c r="AD73" s="22">
        <v>7.9000000000000008E-3</v>
      </c>
      <c r="AE73" s="22">
        <v>0.91639999999999999</v>
      </c>
      <c r="AF73" s="22">
        <v>1.0699999999999999E-2</v>
      </c>
      <c r="AG73" s="22">
        <v>0.89580000000000004</v>
      </c>
      <c r="AH73" s="22">
        <v>2.2700000000000001E-2</v>
      </c>
      <c r="AI73" s="22">
        <v>0.90580000000000005</v>
      </c>
      <c r="AJ73" s="22">
        <v>1.4500000000000001E-2</v>
      </c>
      <c r="AK73" s="22">
        <v>0.97309999999999997</v>
      </c>
      <c r="AL73" s="22">
        <v>5.1999999999999998E-3</v>
      </c>
      <c r="AM73" s="22">
        <v>32.729999999999997</v>
      </c>
      <c r="AN73" s="23">
        <v>97.1</v>
      </c>
    </row>
    <row r="74" spans="5:40" ht="18.75" customHeight="1" x14ac:dyDescent="0.25">
      <c r="E74" s="177"/>
      <c r="F74" s="158"/>
      <c r="G74" s="48" t="s">
        <v>7</v>
      </c>
      <c r="H74" s="66">
        <v>0.9698</v>
      </c>
      <c r="I74" s="86">
        <v>5.1000000000000004E-3</v>
      </c>
      <c r="J74" s="1">
        <v>0.95669999999999999</v>
      </c>
      <c r="K74" s="1">
        <v>1.23E-2</v>
      </c>
      <c r="L74" s="1">
        <v>0.93830000000000002</v>
      </c>
      <c r="M74" s="1">
        <v>8.8999999999999999E-3</v>
      </c>
      <c r="N74" s="1">
        <v>0.94740000000000002</v>
      </c>
      <c r="O74" s="1">
        <v>8.8000000000000005E-3</v>
      </c>
      <c r="P74" s="1">
        <v>0.99590000000000001</v>
      </c>
      <c r="Q74" s="1">
        <v>1.1000000000000001E-3</v>
      </c>
      <c r="R74" s="1">
        <v>3.1</v>
      </c>
      <c r="S74" s="1">
        <v>22.7</v>
      </c>
      <c r="AB74" s="25"/>
      <c r="AC74">
        <f t="shared" ref="AC74:AN74" si="3">AVERAGE(AC59:AC73)</f>
        <v>0.85486000000000006</v>
      </c>
      <c r="AD74">
        <f t="shared" si="3"/>
        <v>5.9133333333333321E-3</v>
      </c>
      <c r="AE74">
        <f t="shared" si="3"/>
        <v>0.75305333333333324</v>
      </c>
      <c r="AF74">
        <f t="shared" si="3"/>
        <v>1.5133333333333332E-2</v>
      </c>
      <c r="AG74">
        <f t="shared" si="3"/>
        <v>0.5651466666666668</v>
      </c>
      <c r="AH74">
        <f t="shared" si="3"/>
        <v>2.0486666666666663E-2</v>
      </c>
      <c r="AI74">
        <f t="shared" si="3"/>
        <v>0.63308666666666669</v>
      </c>
      <c r="AJ74">
        <f t="shared" si="3"/>
        <v>1.5559999999999999E-2</v>
      </c>
      <c r="AK74">
        <f t="shared" si="3"/>
        <v>0.87818666666666667</v>
      </c>
      <c r="AL74">
        <f t="shared" si="3"/>
        <v>6.2399999999999999E-3</v>
      </c>
      <c r="AM74">
        <f t="shared" si="3"/>
        <v>264.8073333333333</v>
      </c>
      <c r="AN74">
        <f t="shared" si="3"/>
        <v>142.70000000000002</v>
      </c>
    </row>
    <row r="75" spans="5:40" ht="18.75" customHeight="1" x14ac:dyDescent="0.25">
      <c r="E75" s="177"/>
      <c r="F75" s="158"/>
      <c r="G75" s="48" t="s">
        <v>8</v>
      </c>
      <c r="H75" s="66">
        <v>0.8639</v>
      </c>
      <c r="I75" s="86">
        <v>9.9000000000000008E-3</v>
      </c>
      <c r="J75" s="1">
        <v>0.99850000000000005</v>
      </c>
      <c r="K75" s="1">
        <v>2.8999999999999998E-3</v>
      </c>
      <c r="L75" s="1">
        <v>0.53129999999999999</v>
      </c>
      <c r="M75" s="1">
        <v>3.5400000000000001E-2</v>
      </c>
      <c r="N75" s="1">
        <v>0.69279999999999997</v>
      </c>
      <c r="O75" s="1">
        <v>2.9700000000000001E-2</v>
      </c>
      <c r="P75" s="1">
        <v>0.99639999999999995</v>
      </c>
      <c r="Q75" s="1">
        <v>1.5E-3</v>
      </c>
      <c r="R75" s="1">
        <v>1.71</v>
      </c>
      <c r="S75" s="1">
        <v>14.6</v>
      </c>
    </row>
    <row r="76" spans="5:40" ht="18.75" customHeight="1" thickBot="1" x14ac:dyDescent="0.3">
      <c r="E76" s="177"/>
      <c r="F76" s="183"/>
      <c r="G76" s="49" t="s">
        <v>9</v>
      </c>
      <c r="H76" s="67">
        <v>0.98599999999999999</v>
      </c>
      <c r="I76" s="87">
        <v>3.5999999999999999E-3</v>
      </c>
      <c r="J76" s="4">
        <v>0.97589999999999999</v>
      </c>
      <c r="K76" s="4">
        <v>7.9000000000000008E-3</v>
      </c>
      <c r="L76" s="4">
        <v>0.9758</v>
      </c>
      <c r="M76" s="4">
        <v>1.1299999999999999E-2</v>
      </c>
      <c r="N76" s="4">
        <v>0.9758</v>
      </c>
      <c r="O76" s="4">
        <v>6.3E-3</v>
      </c>
      <c r="P76" s="4">
        <v>0.99870000000000003</v>
      </c>
      <c r="Q76" s="4">
        <v>5.0000000000000001E-4</v>
      </c>
      <c r="R76" s="4">
        <v>613.07000000000005</v>
      </c>
      <c r="S76" s="4">
        <v>271.7</v>
      </c>
    </row>
    <row r="77" spans="5:40" ht="18.75" customHeight="1" x14ac:dyDescent="0.25">
      <c r="E77" s="177"/>
      <c r="F77" s="184" t="s">
        <v>2</v>
      </c>
      <c r="G77" s="54" t="s">
        <v>5</v>
      </c>
      <c r="H77" s="76">
        <v>0.95309999999999995</v>
      </c>
      <c r="I77" s="93">
        <v>8.3000000000000001E-3</v>
      </c>
      <c r="J77" s="18">
        <v>0.90129999999999999</v>
      </c>
      <c r="K77" s="18">
        <v>1.9300000000000001E-2</v>
      </c>
      <c r="L77" s="18">
        <v>0.94159999999999999</v>
      </c>
      <c r="M77" s="18">
        <v>9.4000000000000004E-3</v>
      </c>
      <c r="N77" s="18">
        <v>0.92100000000000004</v>
      </c>
      <c r="O77" s="18">
        <v>1.34E-2</v>
      </c>
      <c r="P77" s="18">
        <v>0.98939999999999995</v>
      </c>
      <c r="Q77" s="18">
        <v>2.5000000000000001E-3</v>
      </c>
      <c r="R77" s="18">
        <v>21.6</v>
      </c>
      <c r="S77" s="18">
        <v>94.5</v>
      </c>
      <c r="Z77" s="195" t="s">
        <v>433</v>
      </c>
      <c r="AA77" s="167" t="s">
        <v>20</v>
      </c>
      <c r="AB77" s="81" t="s">
        <v>5</v>
      </c>
      <c r="AC77" s="60" cm="1">
        <f t="array" ref="AC77:AN81">H25:S29</f>
        <v>0.93120000000000003</v>
      </c>
      <c r="AD77" s="81">
        <v>2.7000000000000001E-3</v>
      </c>
      <c r="AE77" s="6">
        <v>0.87250000000000005</v>
      </c>
      <c r="AF77" s="6">
        <v>2.3E-3</v>
      </c>
      <c r="AG77" s="6">
        <v>0.85099999999999998</v>
      </c>
      <c r="AH77" s="6">
        <v>1.2E-2</v>
      </c>
      <c r="AI77" s="6">
        <v>0.86160000000000003</v>
      </c>
      <c r="AJ77" s="6">
        <v>6.4000000000000003E-3</v>
      </c>
      <c r="AK77" s="6">
        <v>0.9728</v>
      </c>
      <c r="AL77" s="6">
        <v>2.3999999999999998E-3</v>
      </c>
      <c r="AM77" s="6">
        <v>81.98</v>
      </c>
      <c r="AN77" s="7">
        <v>1362.4</v>
      </c>
    </row>
    <row r="78" spans="5:40" ht="18.75" customHeight="1" x14ac:dyDescent="0.25">
      <c r="E78" s="177"/>
      <c r="F78" s="185"/>
      <c r="G78" s="55" t="s">
        <v>6</v>
      </c>
      <c r="H78" s="65">
        <v>0.9516</v>
      </c>
      <c r="I78" s="85">
        <v>7.4999999999999997E-3</v>
      </c>
      <c r="J78" s="20">
        <v>0.88590000000000002</v>
      </c>
      <c r="K78" s="20">
        <v>1.5900000000000001E-2</v>
      </c>
      <c r="L78" s="20">
        <v>0.95660000000000001</v>
      </c>
      <c r="M78" s="20">
        <v>8.0999999999999996E-3</v>
      </c>
      <c r="N78" s="20">
        <v>0.91990000000000005</v>
      </c>
      <c r="O78" s="20">
        <v>1.1900000000000001E-2</v>
      </c>
      <c r="P78" s="20">
        <v>0.99080000000000001</v>
      </c>
      <c r="Q78" s="20">
        <v>1.6999999999999999E-3</v>
      </c>
      <c r="R78" s="20">
        <v>25.24</v>
      </c>
      <c r="S78" s="20">
        <v>94.5</v>
      </c>
      <c r="Z78" s="196"/>
      <c r="AA78" s="168"/>
      <c r="AB78" s="82" t="s">
        <v>6</v>
      </c>
      <c r="AC78" s="61">
        <v>0.9325</v>
      </c>
      <c r="AD78" s="82">
        <v>1.8E-3</v>
      </c>
      <c r="AE78" s="8">
        <v>0.88080000000000003</v>
      </c>
      <c r="AF78" s="8">
        <v>3.2000000000000002E-3</v>
      </c>
      <c r="AG78" s="8">
        <v>0.84640000000000004</v>
      </c>
      <c r="AH78" s="8">
        <v>9.1999999999999998E-3</v>
      </c>
      <c r="AI78" s="8">
        <v>0.86319999999999997</v>
      </c>
      <c r="AJ78" s="8">
        <v>4.4000000000000003E-3</v>
      </c>
      <c r="AK78" s="8">
        <v>0.97050000000000003</v>
      </c>
      <c r="AL78" s="8">
        <v>1.8E-3</v>
      </c>
      <c r="AM78" s="8">
        <v>3250.05</v>
      </c>
      <c r="AN78" s="9">
        <v>1240.9000000000001</v>
      </c>
    </row>
    <row r="79" spans="5:40" ht="18.75" customHeight="1" x14ac:dyDescent="0.25">
      <c r="E79" s="177"/>
      <c r="F79" s="185"/>
      <c r="G79" s="55" t="s">
        <v>7</v>
      </c>
      <c r="H79" s="65">
        <v>0.96809999999999996</v>
      </c>
      <c r="I79" s="85">
        <v>5.0000000000000001E-3</v>
      </c>
      <c r="J79" s="20">
        <v>0.93389999999999995</v>
      </c>
      <c r="K79" s="20">
        <v>1.84E-2</v>
      </c>
      <c r="L79" s="20">
        <v>0.95830000000000004</v>
      </c>
      <c r="M79" s="20">
        <v>8.3000000000000001E-3</v>
      </c>
      <c r="N79" s="20">
        <v>0.94579999999999997</v>
      </c>
      <c r="O79" s="20">
        <v>7.9000000000000008E-3</v>
      </c>
      <c r="P79" s="20">
        <v>0.99409999999999998</v>
      </c>
      <c r="Q79" s="20">
        <v>8.9999999999999998E-4</v>
      </c>
      <c r="R79" s="20">
        <v>30.01</v>
      </c>
      <c r="S79" s="20">
        <v>93.3</v>
      </c>
      <c r="Z79" s="196"/>
      <c r="AA79" s="168"/>
      <c r="AB79" s="82" t="s">
        <v>7</v>
      </c>
      <c r="AC79" s="61">
        <v>0.92230000000000001</v>
      </c>
      <c r="AD79" s="82">
        <v>4.1000000000000003E-3</v>
      </c>
      <c r="AE79" s="8">
        <v>0.91120000000000001</v>
      </c>
      <c r="AF79" s="8">
        <v>5.4000000000000003E-3</v>
      </c>
      <c r="AG79" s="8">
        <v>0.76600000000000001</v>
      </c>
      <c r="AH79" s="8">
        <v>1.72E-2</v>
      </c>
      <c r="AI79" s="8">
        <v>0.83220000000000005</v>
      </c>
      <c r="AJ79" s="8">
        <v>1.0500000000000001E-2</v>
      </c>
      <c r="AK79" s="8">
        <v>0.97240000000000004</v>
      </c>
      <c r="AL79" s="8">
        <v>2.5999999999999999E-3</v>
      </c>
      <c r="AM79" s="8">
        <v>528.83000000000004</v>
      </c>
      <c r="AN79" s="9">
        <v>1245</v>
      </c>
    </row>
    <row r="80" spans="5:40" ht="18.75" customHeight="1" x14ac:dyDescent="0.25">
      <c r="E80" s="177"/>
      <c r="F80" s="185"/>
      <c r="G80" s="55" t="s">
        <v>18</v>
      </c>
      <c r="H80" s="65">
        <v>0.87229999999999996</v>
      </c>
      <c r="I80" s="85">
        <v>6.4999999999999997E-3</v>
      </c>
      <c r="J80" s="20">
        <v>0.70150000000000001</v>
      </c>
      <c r="K80" s="20">
        <v>1.18E-2</v>
      </c>
      <c r="L80" s="20">
        <v>0.97499999999999998</v>
      </c>
      <c r="M80" s="20">
        <v>3.7000000000000002E-3</v>
      </c>
      <c r="N80" s="20">
        <v>0.81579999999999997</v>
      </c>
      <c r="O80" s="20">
        <v>7.4999999999999997E-3</v>
      </c>
      <c r="P80" s="20">
        <v>0.95230000000000004</v>
      </c>
      <c r="Q80" s="20">
        <v>2.3999999999999998E-3</v>
      </c>
      <c r="R80" s="20">
        <v>21.46</v>
      </c>
      <c r="S80" s="20">
        <v>94.9</v>
      </c>
      <c r="Z80" s="196"/>
      <c r="AA80" s="168"/>
      <c r="AB80" s="82" t="s">
        <v>8</v>
      </c>
      <c r="AC80" s="61">
        <v>0.73260000000000003</v>
      </c>
      <c r="AD80" s="82">
        <v>2E-3</v>
      </c>
      <c r="AE80" s="8">
        <v>0.48149999999999998</v>
      </c>
      <c r="AF80" s="8">
        <v>2.3E-3</v>
      </c>
      <c r="AG80" s="8">
        <v>0.80759999999999998</v>
      </c>
      <c r="AH80" s="8">
        <v>1.4E-3</v>
      </c>
      <c r="AI80" s="8">
        <v>0.60329999999999995</v>
      </c>
      <c r="AJ80" s="8">
        <v>1.6000000000000001E-3</v>
      </c>
      <c r="AK80" s="8">
        <v>0.81320000000000003</v>
      </c>
      <c r="AL80" s="8">
        <v>2.2000000000000001E-3</v>
      </c>
      <c r="AM80" s="8">
        <v>72.349999999999994</v>
      </c>
      <c r="AN80" s="9">
        <v>1241.5</v>
      </c>
    </row>
    <row r="81" spans="5:40" ht="18.75" customHeight="1" thickBot="1" x14ac:dyDescent="0.3">
      <c r="E81" s="177"/>
      <c r="F81" s="186"/>
      <c r="G81" s="56" t="s">
        <v>9</v>
      </c>
      <c r="H81" s="70">
        <v>0.97070000000000001</v>
      </c>
      <c r="I81" s="94">
        <v>9.7999999999999997E-3</v>
      </c>
      <c r="J81" s="22">
        <v>0.95469999999999999</v>
      </c>
      <c r="K81" s="22">
        <v>1.7500000000000002E-2</v>
      </c>
      <c r="L81" s="22">
        <v>0.94410000000000005</v>
      </c>
      <c r="M81" s="22">
        <v>2.4500000000000001E-2</v>
      </c>
      <c r="N81" s="22">
        <v>0.94920000000000004</v>
      </c>
      <c r="O81" s="22">
        <v>1.7000000000000001E-2</v>
      </c>
      <c r="P81" s="22">
        <v>0.99439999999999995</v>
      </c>
      <c r="Q81" s="22">
        <v>2.5000000000000001E-3</v>
      </c>
      <c r="R81" s="22">
        <v>95.7</v>
      </c>
      <c r="S81" s="22">
        <v>94.5</v>
      </c>
      <c r="Z81" s="196"/>
      <c r="AA81" s="168"/>
      <c r="AB81" s="129" t="s">
        <v>9</v>
      </c>
      <c r="AC81" s="131">
        <v>0.9405</v>
      </c>
      <c r="AD81" s="129">
        <v>1.1999999999999999E-3</v>
      </c>
      <c r="AE81" s="98">
        <v>0.88900000000000001</v>
      </c>
      <c r="AF81" s="98">
        <v>9.4000000000000004E-3</v>
      </c>
      <c r="AG81" s="98">
        <v>0.87309999999999999</v>
      </c>
      <c r="AH81" s="98">
        <v>1.2999999999999999E-2</v>
      </c>
      <c r="AI81" s="98">
        <v>0.88080000000000003</v>
      </c>
      <c r="AJ81" s="98">
        <v>3.0999999999999999E-3</v>
      </c>
      <c r="AK81" s="98">
        <v>0.96970000000000001</v>
      </c>
      <c r="AL81" s="98">
        <v>3.0000000000000001E-3</v>
      </c>
      <c r="AM81" s="98">
        <v>459.94</v>
      </c>
      <c r="AN81" s="126">
        <v>1257.7</v>
      </c>
    </row>
    <row r="82" spans="5:40" ht="18.75" customHeight="1" x14ac:dyDescent="0.25">
      <c r="E82" s="177"/>
      <c r="F82" s="187" t="s">
        <v>3</v>
      </c>
      <c r="G82" s="47" t="s">
        <v>5</v>
      </c>
      <c r="H82" s="63">
        <v>0.90759999999999996</v>
      </c>
      <c r="I82" s="84">
        <v>1.09E-2</v>
      </c>
      <c r="J82" s="3">
        <v>0.91590000000000005</v>
      </c>
      <c r="K82" s="3">
        <v>1.6799999999999999E-2</v>
      </c>
      <c r="L82" s="3">
        <v>0.75060000000000004</v>
      </c>
      <c r="M82" s="3">
        <v>3.7400000000000003E-2</v>
      </c>
      <c r="N82" s="3">
        <v>0.82450000000000001</v>
      </c>
      <c r="O82" s="3">
        <v>2.3099999999999999E-2</v>
      </c>
      <c r="P82" s="3">
        <v>0.95340000000000003</v>
      </c>
      <c r="Q82" s="3">
        <v>6.7999999999999996E-3</v>
      </c>
      <c r="R82" s="3">
        <v>15.49</v>
      </c>
      <c r="S82" s="3">
        <v>97.9</v>
      </c>
      <c r="Z82" s="196"/>
      <c r="AA82" s="167" t="s">
        <v>21</v>
      </c>
      <c r="AB82" s="92" t="s">
        <v>5</v>
      </c>
      <c r="AC82" s="75" cm="1">
        <f t="array" ref="AC82:AN86">H56:S60</f>
        <v>0.90459999999999996</v>
      </c>
      <c r="AD82" s="92">
        <v>2.8999999999999998E-3</v>
      </c>
      <c r="AE82" s="12">
        <v>0.75190000000000001</v>
      </c>
      <c r="AF82" s="12">
        <v>1.46E-2</v>
      </c>
      <c r="AG82" s="12">
        <v>0.64500000000000002</v>
      </c>
      <c r="AH82" s="12">
        <v>1.2800000000000001E-2</v>
      </c>
      <c r="AI82" s="12">
        <v>0.69420000000000004</v>
      </c>
      <c r="AJ82" s="12">
        <v>8.6E-3</v>
      </c>
      <c r="AK82" s="12">
        <v>0.93869999999999998</v>
      </c>
      <c r="AL82" s="12">
        <v>3.3E-3</v>
      </c>
      <c r="AM82" s="12">
        <v>28.88</v>
      </c>
      <c r="AN82" s="13">
        <v>1119.7</v>
      </c>
    </row>
    <row r="83" spans="5:40" ht="18.75" customHeight="1" x14ac:dyDescent="0.25">
      <c r="E83" s="177"/>
      <c r="F83" s="187"/>
      <c r="G83" s="48" t="s">
        <v>6</v>
      </c>
      <c r="H83" s="66">
        <v>0.91339999999999999</v>
      </c>
      <c r="I83" s="86">
        <v>9.5999999999999992E-3</v>
      </c>
      <c r="J83" s="1">
        <v>0.94799999999999995</v>
      </c>
      <c r="K83" s="1">
        <v>1.32E-2</v>
      </c>
      <c r="L83" s="1">
        <v>0.74229999999999996</v>
      </c>
      <c r="M83" s="1">
        <v>3.2899999999999999E-2</v>
      </c>
      <c r="N83" s="1">
        <v>0.83220000000000005</v>
      </c>
      <c r="O83" s="1">
        <v>2.1000000000000001E-2</v>
      </c>
      <c r="P83" s="1">
        <v>0.96060000000000001</v>
      </c>
      <c r="Q83" s="1">
        <v>4.7999999999999996E-3</v>
      </c>
      <c r="R83" s="1">
        <v>23.58</v>
      </c>
      <c r="S83" s="1">
        <v>99.2</v>
      </c>
      <c r="Z83" s="196"/>
      <c r="AA83" s="168"/>
      <c r="AB83" s="90" t="s">
        <v>6</v>
      </c>
      <c r="AC83" s="69">
        <v>0.90259999999999996</v>
      </c>
      <c r="AD83" s="90">
        <v>3.8999999999999998E-3</v>
      </c>
      <c r="AE83" s="14">
        <v>0.81040000000000001</v>
      </c>
      <c r="AF83" s="14">
        <v>1.9400000000000001E-2</v>
      </c>
      <c r="AG83" s="14">
        <v>0.54830000000000001</v>
      </c>
      <c r="AH83" s="14">
        <v>1.6E-2</v>
      </c>
      <c r="AI83" s="14">
        <v>0.65400000000000003</v>
      </c>
      <c r="AJ83" s="14">
        <v>1.47E-2</v>
      </c>
      <c r="AK83" s="14">
        <v>0.93589999999999995</v>
      </c>
      <c r="AL83" s="14">
        <v>3.3E-3</v>
      </c>
      <c r="AM83" s="14">
        <v>1013.48</v>
      </c>
      <c r="AN83" s="15">
        <v>1181</v>
      </c>
    </row>
    <row r="84" spans="5:40" ht="18.75" customHeight="1" x14ac:dyDescent="0.25">
      <c r="E84" s="177"/>
      <c r="F84" s="187"/>
      <c r="G84" s="48" t="s">
        <v>7</v>
      </c>
      <c r="H84" s="66">
        <v>0.9093</v>
      </c>
      <c r="I84" s="86">
        <v>8.0000000000000002E-3</v>
      </c>
      <c r="J84" s="1">
        <v>0.95389999999999997</v>
      </c>
      <c r="K84" s="1">
        <v>1.8599999999999998E-2</v>
      </c>
      <c r="L84" s="1">
        <v>0.72309999999999997</v>
      </c>
      <c r="M84" s="1">
        <v>3.9800000000000002E-2</v>
      </c>
      <c r="N84" s="1">
        <v>0.8216</v>
      </c>
      <c r="O84" s="1">
        <v>2.07E-2</v>
      </c>
      <c r="P84" s="1">
        <v>0.96640000000000004</v>
      </c>
      <c r="Q84" s="1">
        <v>6.4999999999999997E-3</v>
      </c>
      <c r="R84" s="1">
        <v>29.3</v>
      </c>
      <c r="S84" s="1">
        <v>99</v>
      </c>
      <c r="Z84" s="196"/>
      <c r="AA84" s="168"/>
      <c r="AB84" s="90" t="s">
        <v>7</v>
      </c>
      <c r="AC84" s="69">
        <v>0.86750000000000005</v>
      </c>
      <c r="AD84" s="90">
        <v>4.1999999999999997E-3</v>
      </c>
      <c r="AE84" s="14">
        <v>0.85389999999999999</v>
      </c>
      <c r="AF84" s="14">
        <v>2.8000000000000001E-2</v>
      </c>
      <c r="AG84" s="14">
        <v>0.255</v>
      </c>
      <c r="AH84" s="14">
        <v>2.2599999999999999E-2</v>
      </c>
      <c r="AI84" s="14">
        <v>0.39219999999999999</v>
      </c>
      <c r="AJ84" s="14">
        <v>2.8799999999999999E-2</v>
      </c>
      <c r="AK84" s="14">
        <v>0.88539999999999996</v>
      </c>
      <c r="AL84" s="14">
        <v>8.0999999999999996E-3</v>
      </c>
      <c r="AM84" s="14">
        <v>307.79000000000002</v>
      </c>
      <c r="AN84" s="15">
        <v>1060.3</v>
      </c>
    </row>
    <row r="85" spans="5:40" ht="18.75" customHeight="1" x14ac:dyDescent="0.25">
      <c r="E85" s="177"/>
      <c r="F85" s="187"/>
      <c r="G85" s="48" t="s">
        <v>18</v>
      </c>
      <c r="H85" s="66">
        <v>0.70289999999999997</v>
      </c>
      <c r="I85" s="86">
        <v>1.3100000000000001E-2</v>
      </c>
      <c r="J85" s="1">
        <v>0.48130000000000001</v>
      </c>
      <c r="K85" s="1">
        <v>3.3300000000000003E-2</v>
      </c>
      <c r="L85" s="1">
        <v>0.3261</v>
      </c>
      <c r="M85" s="1">
        <v>3.3399999999999999E-2</v>
      </c>
      <c r="N85" s="1">
        <v>0.38829999999999998</v>
      </c>
      <c r="O85" s="1">
        <v>3.2599999999999997E-2</v>
      </c>
      <c r="P85" s="1">
        <v>0.67700000000000005</v>
      </c>
      <c r="Q85" s="1">
        <v>1.32E-2</v>
      </c>
      <c r="R85" s="1">
        <v>15.46</v>
      </c>
      <c r="S85" s="1">
        <v>96.7</v>
      </c>
      <c r="Z85" s="196"/>
      <c r="AA85" s="168"/>
      <c r="AB85" s="90" t="s">
        <v>8</v>
      </c>
      <c r="AC85" s="69">
        <v>0.78659999999999997</v>
      </c>
      <c r="AD85" s="90">
        <v>6.3E-3</v>
      </c>
      <c r="AE85" s="14">
        <v>0.42309999999999998</v>
      </c>
      <c r="AF85" s="14">
        <v>1.03E-2</v>
      </c>
      <c r="AG85" s="14">
        <v>0.74380000000000002</v>
      </c>
      <c r="AH85" s="14">
        <v>2.1700000000000001E-2</v>
      </c>
      <c r="AI85" s="14">
        <v>0.5393</v>
      </c>
      <c r="AJ85" s="14">
        <v>1.2800000000000001E-2</v>
      </c>
      <c r="AK85" s="14">
        <v>0.84619999999999995</v>
      </c>
      <c r="AL85" s="14">
        <v>9.4000000000000004E-3</v>
      </c>
      <c r="AM85" s="14">
        <v>21.75</v>
      </c>
      <c r="AN85" s="15">
        <v>1059.0999999999999</v>
      </c>
    </row>
    <row r="86" spans="5:40" ht="18.75" customHeight="1" thickBot="1" x14ac:dyDescent="0.3">
      <c r="E86" s="177"/>
      <c r="F86" s="187"/>
      <c r="G86" s="49" t="s">
        <v>9</v>
      </c>
      <c r="H86" s="67">
        <v>0.94610000000000005</v>
      </c>
      <c r="I86" s="87">
        <v>7.9000000000000008E-3</v>
      </c>
      <c r="J86" s="4">
        <v>0.91639999999999999</v>
      </c>
      <c r="K86" s="4">
        <v>1.0699999999999999E-2</v>
      </c>
      <c r="L86" s="4">
        <v>0.89580000000000004</v>
      </c>
      <c r="M86" s="4">
        <v>2.2700000000000001E-2</v>
      </c>
      <c r="N86" s="4">
        <v>0.90580000000000005</v>
      </c>
      <c r="O86" s="4">
        <v>1.4500000000000001E-2</v>
      </c>
      <c r="P86" s="4">
        <v>0.97309999999999997</v>
      </c>
      <c r="Q86" s="4">
        <v>5.1999999999999998E-3</v>
      </c>
      <c r="R86" s="4">
        <v>32.729999999999997</v>
      </c>
      <c r="S86" s="4">
        <v>97.1</v>
      </c>
      <c r="Z86" s="196"/>
      <c r="AA86" s="169"/>
      <c r="AB86" s="91" t="s">
        <v>9</v>
      </c>
      <c r="AC86" s="74">
        <v>0.90010000000000001</v>
      </c>
      <c r="AD86" s="91">
        <v>5.1000000000000004E-3</v>
      </c>
      <c r="AE86" s="16">
        <v>0.73619999999999997</v>
      </c>
      <c r="AF86" s="16">
        <v>4.3099999999999999E-2</v>
      </c>
      <c r="AG86" s="16">
        <v>0.64529999999999998</v>
      </c>
      <c r="AH86" s="16">
        <v>7.85E-2</v>
      </c>
      <c r="AI86" s="16">
        <v>0.6825</v>
      </c>
      <c r="AJ86" s="16">
        <v>3.0099999999999998E-2</v>
      </c>
      <c r="AK86" s="16">
        <v>0.92589999999999995</v>
      </c>
      <c r="AL86" s="16">
        <v>8.3000000000000001E-3</v>
      </c>
      <c r="AM86" s="16">
        <v>191.03</v>
      </c>
      <c r="AN86" s="17">
        <v>1068.0999999999999</v>
      </c>
    </row>
    <row r="87" spans="5:40" ht="18.75" customHeight="1" x14ac:dyDescent="0.25">
      <c r="E87" s="177"/>
      <c r="F87" s="188" t="s">
        <v>4</v>
      </c>
      <c r="G87" s="54" t="s">
        <v>5</v>
      </c>
      <c r="H87" s="138">
        <v>0.97409999999999997</v>
      </c>
      <c r="I87" s="93">
        <v>4.7000000000000002E-3</v>
      </c>
      <c r="J87" s="18">
        <v>0.9536</v>
      </c>
      <c r="K87" s="18">
        <v>8.5000000000000006E-3</v>
      </c>
      <c r="L87" s="18">
        <v>0.95750000000000002</v>
      </c>
      <c r="M87" s="18">
        <v>1.3599999999999999E-2</v>
      </c>
      <c r="N87" s="139">
        <v>0.95540000000000003</v>
      </c>
      <c r="O87" s="18">
        <v>8.3999999999999995E-3</v>
      </c>
      <c r="P87" s="18">
        <v>0.996</v>
      </c>
      <c r="Q87" s="18">
        <v>2E-3</v>
      </c>
      <c r="R87" s="18">
        <v>7.56</v>
      </c>
      <c r="S87" s="18">
        <v>1003.3</v>
      </c>
      <c r="Z87" s="196"/>
      <c r="AA87" s="198" t="s">
        <v>17</v>
      </c>
      <c r="AB87" s="130" t="s">
        <v>5</v>
      </c>
      <c r="AC87" s="132" cm="1">
        <f t="array" ref="AC87:AN91">H87:S91</f>
        <v>0.97409999999999997</v>
      </c>
      <c r="AD87" s="130">
        <v>4.7000000000000002E-3</v>
      </c>
      <c r="AE87" s="127">
        <v>0.9536</v>
      </c>
      <c r="AF87" s="127">
        <v>8.5000000000000006E-3</v>
      </c>
      <c r="AG87" s="127">
        <v>0.95750000000000002</v>
      </c>
      <c r="AH87" s="127">
        <v>1.3599999999999999E-2</v>
      </c>
      <c r="AI87" s="127">
        <v>0.95540000000000003</v>
      </c>
      <c r="AJ87" s="127">
        <v>8.3999999999999995E-3</v>
      </c>
      <c r="AK87" s="127">
        <v>0.996</v>
      </c>
      <c r="AL87" s="127">
        <v>2E-3</v>
      </c>
      <c r="AM87" s="127">
        <v>7.56</v>
      </c>
      <c r="AN87" s="128">
        <v>1003.3</v>
      </c>
    </row>
    <row r="88" spans="5:40" ht="18.75" customHeight="1" x14ac:dyDescent="0.25">
      <c r="E88" s="177"/>
      <c r="F88" s="180"/>
      <c r="G88" s="55" t="s">
        <v>6</v>
      </c>
      <c r="H88" s="65">
        <v>0.9698</v>
      </c>
      <c r="I88" s="85">
        <v>5.1999999999999998E-3</v>
      </c>
      <c r="J88" s="20">
        <v>0.94389999999999996</v>
      </c>
      <c r="K88" s="20">
        <v>1.01E-2</v>
      </c>
      <c r="L88" s="20">
        <v>0.95240000000000002</v>
      </c>
      <c r="M88" s="20">
        <v>1.6E-2</v>
      </c>
      <c r="N88" s="20">
        <v>0.94810000000000005</v>
      </c>
      <c r="O88" s="20">
        <v>9.2999999999999992E-3</v>
      </c>
      <c r="P88" s="20">
        <v>0.99539999999999995</v>
      </c>
      <c r="Q88" s="20">
        <v>1.2999999999999999E-3</v>
      </c>
      <c r="R88" s="20">
        <v>34.57</v>
      </c>
      <c r="S88" s="20">
        <v>1008.3</v>
      </c>
      <c r="Z88" s="196"/>
      <c r="AA88" s="198"/>
      <c r="AB88" s="85" t="s">
        <v>6</v>
      </c>
      <c r="AC88" s="65">
        <v>0.9698</v>
      </c>
      <c r="AD88" s="85">
        <v>5.1999999999999998E-3</v>
      </c>
      <c r="AE88" s="20">
        <v>0.94389999999999996</v>
      </c>
      <c r="AF88" s="20">
        <v>1.01E-2</v>
      </c>
      <c r="AG88" s="20">
        <v>0.95240000000000002</v>
      </c>
      <c r="AH88" s="20">
        <v>1.6E-2</v>
      </c>
      <c r="AI88" s="20">
        <v>0.94810000000000005</v>
      </c>
      <c r="AJ88" s="20">
        <v>9.2999999999999992E-3</v>
      </c>
      <c r="AK88" s="20">
        <v>0.99539999999999995</v>
      </c>
      <c r="AL88" s="20">
        <v>1.2999999999999999E-3</v>
      </c>
      <c r="AM88" s="20">
        <v>34.57</v>
      </c>
      <c r="AN88" s="21">
        <v>1008.3</v>
      </c>
    </row>
    <row r="89" spans="5:40" ht="18.75" customHeight="1" x14ac:dyDescent="0.25">
      <c r="E89" s="177"/>
      <c r="F89" s="180"/>
      <c r="G89" s="55" t="s">
        <v>7</v>
      </c>
      <c r="H89" s="65">
        <v>0.94630000000000003</v>
      </c>
      <c r="I89" s="85">
        <v>6.8999999999999999E-3</v>
      </c>
      <c r="J89" s="20">
        <v>0.93910000000000005</v>
      </c>
      <c r="K89" s="20">
        <v>1.54E-2</v>
      </c>
      <c r="L89" s="20">
        <v>0.87150000000000005</v>
      </c>
      <c r="M89" s="20">
        <v>1.6799999999999999E-2</v>
      </c>
      <c r="N89" s="20">
        <v>0.90400000000000003</v>
      </c>
      <c r="O89" s="20">
        <v>1.24E-2</v>
      </c>
      <c r="P89" s="20">
        <v>0.99119999999999997</v>
      </c>
      <c r="Q89" s="20">
        <v>2.0999999999999999E-3</v>
      </c>
      <c r="R89" s="20">
        <v>53.94</v>
      </c>
      <c r="S89" s="20">
        <v>990.4</v>
      </c>
      <c r="Z89" s="196"/>
      <c r="AA89" s="198"/>
      <c r="AB89" s="85" t="s">
        <v>7</v>
      </c>
      <c r="AC89" s="65">
        <v>0.94630000000000003</v>
      </c>
      <c r="AD89" s="85">
        <v>6.8999999999999999E-3</v>
      </c>
      <c r="AE89" s="20">
        <v>0.93910000000000005</v>
      </c>
      <c r="AF89" s="20">
        <v>1.54E-2</v>
      </c>
      <c r="AG89" s="20">
        <v>0.87150000000000005</v>
      </c>
      <c r="AH89" s="20">
        <v>1.6799999999999999E-2</v>
      </c>
      <c r="AI89" s="20">
        <v>0.90400000000000003</v>
      </c>
      <c r="AJ89" s="20">
        <v>1.24E-2</v>
      </c>
      <c r="AK89" s="20">
        <v>0.99119999999999997</v>
      </c>
      <c r="AL89" s="20">
        <v>2.0999999999999999E-3</v>
      </c>
      <c r="AM89" s="20">
        <v>53.94</v>
      </c>
      <c r="AN89" s="21">
        <v>990.4</v>
      </c>
    </row>
    <row r="90" spans="5:40" ht="18.75" customHeight="1" x14ac:dyDescent="0.25">
      <c r="E90" s="177"/>
      <c r="F90" s="180"/>
      <c r="G90" s="55" t="s">
        <v>8</v>
      </c>
      <c r="H90" s="65">
        <v>0.91800000000000004</v>
      </c>
      <c r="I90" s="85">
        <v>1.46E-2</v>
      </c>
      <c r="J90" s="20">
        <v>0.81069999999999998</v>
      </c>
      <c r="K90" s="20">
        <v>3.1300000000000001E-2</v>
      </c>
      <c r="L90" s="20">
        <v>0.9375</v>
      </c>
      <c r="M90" s="20">
        <v>1.4200000000000001E-2</v>
      </c>
      <c r="N90" s="20">
        <v>0.86929999999999996</v>
      </c>
      <c r="O90" s="20">
        <v>2.1899999999999999E-2</v>
      </c>
      <c r="P90" s="20">
        <v>0.96299999999999997</v>
      </c>
      <c r="Q90" s="20">
        <v>4.7999999999999996E-3</v>
      </c>
      <c r="R90" s="20">
        <v>7.22</v>
      </c>
      <c r="S90" s="20">
        <v>990.2</v>
      </c>
      <c r="Z90" s="196"/>
      <c r="AA90" s="198"/>
      <c r="AB90" s="85" t="s">
        <v>8</v>
      </c>
      <c r="AC90" s="65">
        <v>0.91800000000000004</v>
      </c>
      <c r="AD90" s="85">
        <v>1.46E-2</v>
      </c>
      <c r="AE90" s="20">
        <v>0.81069999999999998</v>
      </c>
      <c r="AF90" s="20">
        <v>3.1300000000000001E-2</v>
      </c>
      <c r="AG90" s="20">
        <v>0.9375</v>
      </c>
      <c r="AH90" s="20">
        <v>1.4200000000000001E-2</v>
      </c>
      <c r="AI90" s="20">
        <v>0.86929999999999996</v>
      </c>
      <c r="AJ90" s="20">
        <v>2.1899999999999999E-2</v>
      </c>
      <c r="AK90" s="20">
        <v>0.96299999999999997</v>
      </c>
      <c r="AL90" s="20">
        <v>4.7999999999999996E-3</v>
      </c>
      <c r="AM90" s="20">
        <v>7.22</v>
      </c>
      <c r="AN90" s="21">
        <v>990.2</v>
      </c>
    </row>
    <row r="91" spans="5:40" ht="18.75" customHeight="1" thickBot="1" x14ac:dyDescent="0.3">
      <c r="E91" s="177"/>
      <c r="F91" s="180"/>
      <c r="G91" s="105" t="s">
        <v>9</v>
      </c>
      <c r="H91" s="106">
        <v>0.97340000000000004</v>
      </c>
      <c r="I91" s="107">
        <v>5.0000000000000001E-3</v>
      </c>
      <c r="J91" s="108">
        <v>0.95199999999999996</v>
      </c>
      <c r="K91" s="108">
        <v>7.7999999999999996E-3</v>
      </c>
      <c r="L91" s="108">
        <v>0.95660000000000001</v>
      </c>
      <c r="M91" s="108">
        <v>2.1399999999999999E-2</v>
      </c>
      <c r="N91" s="142">
        <v>0.95409999999999995</v>
      </c>
      <c r="O91" s="108">
        <v>9.1999999999999998E-3</v>
      </c>
      <c r="P91" s="108">
        <v>0.99639999999999995</v>
      </c>
      <c r="Q91" s="108">
        <v>1.8E-3</v>
      </c>
      <c r="R91" s="108">
        <v>25.47</v>
      </c>
      <c r="S91" s="108">
        <v>994.9</v>
      </c>
      <c r="Z91" s="197"/>
      <c r="AA91" s="199"/>
      <c r="AB91" s="94" t="s">
        <v>9</v>
      </c>
      <c r="AC91" s="70">
        <v>0.97340000000000004</v>
      </c>
      <c r="AD91" s="94">
        <v>5.0000000000000001E-3</v>
      </c>
      <c r="AE91" s="22">
        <v>0.95199999999999996</v>
      </c>
      <c r="AF91" s="22">
        <v>7.7999999999999996E-3</v>
      </c>
      <c r="AG91" s="22">
        <v>0.95660000000000001</v>
      </c>
      <c r="AH91" s="22">
        <v>2.1399999999999999E-2</v>
      </c>
      <c r="AI91" s="22">
        <v>0.95409999999999995</v>
      </c>
      <c r="AJ91" s="22">
        <v>9.1999999999999998E-3</v>
      </c>
      <c r="AK91" s="22">
        <v>0.99639999999999995</v>
      </c>
      <c r="AL91" s="22">
        <v>1.8E-3</v>
      </c>
      <c r="AM91" s="22">
        <v>25.47</v>
      </c>
      <c r="AN91" s="23">
        <v>994.9</v>
      </c>
    </row>
    <row r="92" spans="5:40" ht="18.75" customHeight="1" x14ac:dyDescent="0.25">
      <c r="E92" s="177"/>
      <c r="F92" s="164" t="s">
        <v>448</v>
      </c>
      <c r="G92" s="39" t="s">
        <v>5</v>
      </c>
      <c r="H92" s="39">
        <v>0.999</v>
      </c>
      <c r="I92" s="39">
        <v>1.1999999999999999E-3</v>
      </c>
      <c r="J92" s="39">
        <v>0.99829999999999997</v>
      </c>
      <c r="K92" s="39">
        <v>3.3E-3</v>
      </c>
      <c r="L92" s="39">
        <v>0.99829999999999997</v>
      </c>
      <c r="M92" s="39">
        <v>3.3E-3</v>
      </c>
      <c r="N92" s="39">
        <v>0.99829999999999997</v>
      </c>
      <c r="O92" s="39">
        <v>2E-3</v>
      </c>
      <c r="P92" s="39">
        <v>1</v>
      </c>
      <c r="Q92" s="39">
        <v>0</v>
      </c>
      <c r="R92" s="39">
        <v>42.85</v>
      </c>
      <c r="S92" s="40">
        <v>3634.3</v>
      </c>
      <c r="AA92" s="26"/>
      <c r="AB92" s="25"/>
      <c r="AC92">
        <f t="shared" ref="AC92:AN92" si="4">AVERAGE(AC77:AC91)</f>
        <v>0.90680666666666654</v>
      </c>
      <c r="AD92">
        <f t="shared" si="4"/>
        <v>4.7066666666666672E-3</v>
      </c>
      <c r="AE92">
        <f t="shared" si="4"/>
        <v>0.81398666666666675</v>
      </c>
      <c r="AF92">
        <f t="shared" si="4"/>
        <v>1.4073333333333334E-2</v>
      </c>
      <c r="AG92">
        <f t="shared" si="4"/>
        <v>0.77713333333333334</v>
      </c>
      <c r="AH92">
        <f t="shared" si="4"/>
        <v>1.9093333333333334E-2</v>
      </c>
      <c r="AI92">
        <f t="shared" si="4"/>
        <v>0.77561333333333338</v>
      </c>
      <c r="AJ92">
        <f t="shared" si="4"/>
        <v>1.2146666666666668E-2</v>
      </c>
      <c r="AK92">
        <f t="shared" si="4"/>
        <v>0.94484666666666661</v>
      </c>
      <c r="AL92">
        <f t="shared" si="4"/>
        <v>3.7600000000000003E-3</v>
      </c>
      <c r="AM92">
        <f t="shared" si="4"/>
        <v>405.65600000000001</v>
      </c>
      <c r="AN92">
        <f t="shared" si="4"/>
        <v>1121.52</v>
      </c>
    </row>
    <row r="93" spans="5:40" ht="18.75" customHeight="1" x14ac:dyDescent="0.25">
      <c r="E93" s="177"/>
      <c r="F93" s="165"/>
      <c r="G93" s="1" t="s">
        <v>6</v>
      </c>
      <c r="H93" s="1">
        <v>0.99929999999999997</v>
      </c>
      <c r="I93" s="1">
        <v>1E-3</v>
      </c>
      <c r="J93" s="1">
        <v>0.99919999999999998</v>
      </c>
      <c r="K93" s="1">
        <v>1.6999999999999999E-3</v>
      </c>
      <c r="L93" s="1">
        <v>0.99829999999999997</v>
      </c>
      <c r="M93" s="1">
        <v>3.3E-3</v>
      </c>
      <c r="N93" s="1">
        <v>0.99870000000000003</v>
      </c>
      <c r="O93" s="1">
        <v>1.6999999999999999E-3</v>
      </c>
      <c r="P93" s="1">
        <v>1</v>
      </c>
      <c r="Q93" s="1">
        <v>0</v>
      </c>
      <c r="R93" s="1">
        <v>43.81</v>
      </c>
      <c r="S93" s="41">
        <v>3621.7</v>
      </c>
    </row>
    <row r="94" spans="5:40" ht="18.75" customHeight="1" thickBot="1" x14ac:dyDescent="0.3">
      <c r="E94" s="177"/>
      <c r="F94" s="165"/>
      <c r="G94" s="1" t="s">
        <v>7</v>
      </c>
      <c r="H94" s="1">
        <v>0.99880000000000002</v>
      </c>
      <c r="I94" s="1">
        <v>1.5E-3</v>
      </c>
      <c r="J94" s="1">
        <v>0.99750000000000005</v>
      </c>
      <c r="K94" s="1">
        <v>3.3E-3</v>
      </c>
      <c r="L94" s="1">
        <v>0.99829999999999997</v>
      </c>
      <c r="M94" s="1">
        <v>3.3E-3</v>
      </c>
      <c r="N94" s="1">
        <v>0.99790000000000001</v>
      </c>
      <c r="O94" s="1">
        <v>2.5999999999999999E-3</v>
      </c>
      <c r="P94" s="1">
        <v>1</v>
      </c>
      <c r="Q94" s="1">
        <v>0</v>
      </c>
      <c r="R94" s="1">
        <v>51.59</v>
      </c>
      <c r="S94" s="41">
        <v>3621.6</v>
      </c>
    </row>
    <row r="95" spans="5:40" ht="18.75" customHeight="1" x14ac:dyDescent="0.25">
      <c r="E95" s="177"/>
      <c r="F95" s="165"/>
      <c r="G95" s="1" t="s">
        <v>18</v>
      </c>
      <c r="H95" s="1">
        <v>0.99829999999999997</v>
      </c>
      <c r="I95" s="1">
        <v>1.5E-3</v>
      </c>
      <c r="J95" s="1">
        <v>0.995</v>
      </c>
      <c r="K95" s="1">
        <v>4.1000000000000003E-3</v>
      </c>
      <c r="L95" s="1">
        <v>0.99919999999999998</v>
      </c>
      <c r="M95" s="1">
        <v>1.6999999999999999E-3</v>
      </c>
      <c r="N95" s="1">
        <v>0.99709999999999999</v>
      </c>
      <c r="O95" s="1">
        <v>2.5000000000000001E-3</v>
      </c>
      <c r="P95" s="1">
        <v>0.999</v>
      </c>
      <c r="Q95" s="1">
        <v>8.0000000000000004E-4</v>
      </c>
      <c r="R95" s="1">
        <v>42.87</v>
      </c>
      <c r="S95" s="41">
        <v>3621.4</v>
      </c>
      <c r="Z95" s="200" t="s">
        <v>448</v>
      </c>
      <c r="AA95" s="161" t="s">
        <v>20</v>
      </c>
      <c r="AB95" s="81" t="s">
        <v>5</v>
      </c>
      <c r="AC95" s="6">
        <f>H30</f>
        <v>0.99370000000000003</v>
      </c>
      <c r="AD95" s="6">
        <f t="shared" ref="AD95:AN95" si="5">I30</f>
        <v>6.9999999999999999E-4</v>
      </c>
      <c r="AE95" s="6">
        <f t="shared" si="5"/>
        <v>0.9889</v>
      </c>
      <c r="AF95" s="6">
        <f t="shared" si="5"/>
        <v>1.5E-3</v>
      </c>
      <c r="AG95" s="6">
        <f t="shared" si="5"/>
        <v>0.98619999999999997</v>
      </c>
      <c r="AH95" s="6">
        <f t="shared" si="5"/>
        <v>2.5000000000000001E-3</v>
      </c>
      <c r="AI95" s="6">
        <f t="shared" si="5"/>
        <v>0.98750000000000004</v>
      </c>
      <c r="AJ95" s="6">
        <f t="shared" si="5"/>
        <v>1.2999999999999999E-3</v>
      </c>
      <c r="AK95" s="6">
        <f t="shared" si="5"/>
        <v>0.99850000000000005</v>
      </c>
      <c r="AL95" s="6">
        <f t="shared" si="5"/>
        <v>6.9999999999999999E-4</v>
      </c>
      <c r="AM95" s="6">
        <f t="shared" si="5"/>
        <v>375.71</v>
      </c>
      <c r="AN95" s="7">
        <f t="shared" si="5"/>
        <v>3979.3</v>
      </c>
    </row>
    <row r="96" spans="5:40" ht="18.75" customHeight="1" thickBot="1" x14ac:dyDescent="0.3">
      <c r="E96" s="178"/>
      <c r="F96" s="166"/>
      <c r="G96" s="42" t="s">
        <v>9</v>
      </c>
      <c r="H96" s="42">
        <v>0.999</v>
      </c>
      <c r="I96" s="42">
        <v>1.1999999999999999E-3</v>
      </c>
      <c r="J96" s="42">
        <v>0.99829999999999997</v>
      </c>
      <c r="K96" s="42">
        <v>3.3E-3</v>
      </c>
      <c r="L96" s="42">
        <v>0.99829999999999997</v>
      </c>
      <c r="M96" s="42">
        <v>3.3E-3</v>
      </c>
      <c r="N96" s="42">
        <v>0.99829999999999997</v>
      </c>
      <c r="O96" s="42">
        <v>2E-3</v>
      </c>
      <c r="P96" s="42">
        <v>1</v>
      </c>
      <c r="Q96" s="42">
        <v>0</v>
      </c>
      <c r="R96" s="42">
        <v>47.38</v>
      </c>
      <c r="S96" s="43">
        <v>3631.5</v>
      </c>
      <c r="Z96" s="201"/>
      <c r="AA96" s="162"/>
      <c r="AB96" s="82" t="s">
        <v>6</v>
      </c>
      <c r="AC96" s="8">
        <f t="shared" ref="AC96:AC99" si="6">H31</f>
        <v>0.99329999999999996</v>
      </c>
      <c r="AD96" s="8">
        <f t="shared" ref="AD96:AD99" si="7">I31</f>
        <v>8.0000000000000004E-4</v>
      </c>
      <c r="AE96" s="8">
        <f t="shared" ref="AE96:AE99" si="8">J31</f>
        <v>0.98729999999999996</v>
      </c>
      <c r="AF96" s="8">
        <f t="shared" ref="AF96:AF99" si="9">K31</f>
        <v>6.9999999999999999E-4</v>
      </c>
      <c r="AG96" s="8">
        <f t="shared" ref="AG96:AG99" si="10">L31</f>
        <v>0.98599999999999999</v>
      </c>
      <c r="AH96" s="8">
        <f t="shared" ref="AH96:AH99" si="11">M31</f>
        <v>3.2000000000000002E-3</v>
      </c>
      <c r="AI96" s="8">
        <f t="shared" ref="AI96:AI99" si="12">N31</f>
        <v>0.98660000000000003</v>
      </c>
      <c r="AJ96" s="8">
        <f t="shared" ref="AJ96:AJ99" si="13">O31</f>
        <v>1.6000000000000001E-3</v>
      </c>
      <c r="AK96" s="8">
        <f t="shared" ref="AK96:AK99" si="14">P31</f>
        <v>0.99639999999999995</v>
      </c>
      <c r="AL96" s="8">
        <f t="shared" ref="AL96:AL99" si="15">Q31</f>
        <v>1E-3</v>
      </c>
      <c r="AM96" s="8">
        <f t="shared" ref="AM96:AM99" si="16">R31</f>
        <v>981.2</v>
      </c>
      <c r="AN96" s="9">
        <f t="shared" ref="AN96:AN99" si="17">S31</f>
        <v>3874.1</v>
      </c>
    </row>
    <row r="97" spans="26:40" x14ac:dyDescent="0.25">
      <c r="Z97" s="201"/>
      <c r="AA97" s="162"/>
      <c r="AB97" s="82" t="s">
        <v>7</v>
      </c>
      <c r="AC97" s="8">
        <f t="shared" si="6"/>
        <v>0.99339999999999995</v>
      </c>
      <c r="AD97" s="8">
        <f t="shared" si="7"/>
        <v>5.0000000000000001E-4</v>
      </c>
      <c r="AE97" s="8">
        <f t="shared" si="8"/>
        <v>0.98799999999999999</v>
      </c>
      <c r="AF97" s="8">
        <f t="shared" si="9"/>
        <v>1.2999999999999999E-3</v>
      </c>
      <c r="AG97" s="8">
        <f t="shared" si="10"/>
        <v>0.98599999999999999</v>
      </c>
      <c r="AH97" s="8">
        <f t="shared" si="11"/>
        <v>2.7000000000000001E-3</v>
      </c>
      <c r="AI97" s="8">
        <f t="shared" si="12"/>
        <v>0.98699999999999999</v>
      </c>
      <c r="AJ97" s="8">
        <f t="shared" si="13"/>
        <v>1.1000000000000001E-3</v>
      </c>
      <c r="AK97" s="8">
        <f t="shared" si="14"/>
        <v>0.99790000000000001</v>
      </c>
      <c r="AL97" s="8">
        <f t="shared" si="15"/>
        <v>5.9999999999999995E-4</v>
      </c>
      <c r="AM97" s="8">
        <f t="shared" si="16"/>
        <v>1233.53</v>
      </c>
      <c r="AN97" s="9">
        <f t="shared" si="17"/>
        <v>3863.2</v>
      </c>
    </row>
    <row r="98" spans="26:40" x14ac:dyDescent="0.25">
      <c r="Z98" s="201"/>
      <c r="AA98" s="162"/>
      <c r="AB98" s="82" t="s">
        <v>8</v>
      </c>
      <c r="AC98" s="8">
        <f t="shared" si="6"/>
        <v>0.99139999999999995</v>
      </c>
      <c r="AD98" s="8">
        <f t="shared" si="7"/>
        <v>5.9999999999999995E-4</v>
      </c>
      <c r="AE98" s="8">
        <f t="shared" si="8"/>
        <v>0.97640000000000005</v>
      </c>
      <c r="AF98" s="8">
        <f t="shared" si="9"/>
        <v>2.2000000000000001E-3</v>
      </c>
      <c r="AG98" s="8">
        <f t="shared" si="10"/>
        <v>0.9899</v>
      </c>
      <c r="AH98" s="8">
        <f t="shared" si="11"/>
        <v>3.3999999999999998E-3</v>
      </c>
      <c r="AI98" s="8">
        <f t="shared" si="12"/>
        <v>0.98309999999999997</v>
      </c>
      <c r="AJ98" s="8">
        <f t="shared" si="13"/>
        <v>1.2999999999999999E-3</v>
      </c>
      <c r="AK98" s="8">
        <f t="shared" si="14"/>
        <v>0.99260000000000004</v>
      </c>
      <c r="AL98" s="8">
        <f t="shared" si="15"/>
        <v>6.9999999999999999E-4</v>
      </c>
      <c r="AM98" s="8">
        <f t="shared" si="16"/>
        <v>375.24</v>
      </c>
      <c r="AN98" s="9">
        <f t="shared" si="17"/>
        <v>3859.1</v>
      </c>
    </row>
    <row r="99" spans="26:40" ht="15.75" thickBot="1" x14ac:dyDescent="0.3">
      <c r="Z99" s="201"/>
      <c r="AA99" s="163"/>
      <c r="AB99" s="129" t="s">
        <v>9</v>
      </c>
      <c r="AC99" s="98">
        <f t="shared" si="6"/>
        <v>0.99339999999999995</v>
      </c>
      <c r="AD99" s="98">
        <f t="shared" si="7"/>
        <v>1.1999999999999999E-3</v>
      </c>
      <c r="AE99" s="98">
        <f t="shared" si="8"/>
        <v>0.98709999999999998</v>
      </c>
      <c r="AF99" s="98">
        <f t="shared" si="9"/>
        <v>2.5000000000000001E-3</v>
      </c>
      <c r="AG99" s="98">
        <f t="shared" si="10"/>
        <v>0.98670000000000002</v>
      </c>
      <c r="AH99" s="98">
        <f t="shared" si="11"/>
        <v>3.0000000000000001E-3</v>
      </c>
      <c r="AI99" s="98">
        <f t="shared" si="12"/>
        <v>0.9869</v>
      </c>
      <c r="AJ99" s="98">
        <f t="shared" si="13"/>
        <v>2.3999999999999998E-3</v>
      </c>
      <c r="AK99" s="98">
        <f t="shared" si="14"/>
        <v>0.99709999999999999</v>
      </c>
      <c r="AL99" s="98">
        <f t="shared" si="15"/>
        <v>1E-3</v>
      </c>
      <c r="AM99" s="98">
        <f t="shared" si="16"/>
        <v>693.41</v>
      </c>
      <c r="AN99" s="126">
        <f t="shared" si="17"/>
        <v>3877.3</v>
      </c>
    </row>
    <row r="100" spans="26:40" ht="15" customHeight="1" x14ac:dyDescent="0.25">
      <c r="Z100" s="201"/>
      <c r="AA100" s="161" t="s">
        <v>21</v>
      </c>
      <c r="AB100" s="92" t="s">
        <v>5</v>
      </c>
      <c r="AC100" s="12">
        <f>H61</f>
        <v>0.9919</v>
      </c>
      <c r="AD100" s="12">
        <f t="shared" ref="AD100:AN100" si="18">I61</f>
        <v>2.0999999999999999E-3</v>
      </c>
      <c r="AE100" s="12">
        <f t="shared" si="18"/>
        <v>0.97940000000000005</v>
      </c>
      <c r="AF100" s="12">
        <f t="shared" si="18"/>
        <v>3.0000000000000001E-3</v>
      </c>
      <c r="AG100" s="12">
        <f t="shared" si="18"/>
        <v>0.97209999999999996</v>
      </c>
      <c r="AH100" s="12">
        <f t="shared" si="18"/>
        <v>1.0999999999999999E-2</v>
      </c>
      <c r="AI100" s="12">
        <f t="shared" si="18"/>
        <v>0.97570000000000001</v>
      </c>
      <c r="AJ100" s="12">
        <f t="shared" si="18"/>
        <v>6.3E-3</v>
      </c>
      <c r="AK100" s="12">
        <f t="shared" si="18"/>
        <v>0.99909999999999999</v>
      </c>
      <c r="AL100" s="12">
        <f t="shared" si="18"/>
        <v>5.0000000000000001E-4</v>
      </c>
      <c r="AM100" s="12">
        <f t="shared" si="18"/>
        <v>213.59</v>
      </c>
      <c r="AN100" s="13">
        <f t="shared" si="18"/>
        <v>3763.2</v>
      </c>
    </row>
    <row r="101" spans="26:40" x14ac:dyDescent="0.25">
      <c r="Z101" s="201"/>
      <c r="AA101" s="162"/>
      <c r="AB101" s="90" t="s">
        <v>6</v>
      </c>
      <c r="AC101" s="14">
        <f t="shared" ref="AC101:AC104" si="19">H62</f>
        <v>0.99180000000000001</v>
      </c>
      <c r="AD101" s="14">
        <f t="shared" ref="AD101:AD104" si="20">I62</f>
        <v>1.9E-3</v>
      </c>
      <c r="AE101" s="14">
        <f t="shared" ref="AE101:AE104" si="21">J62</f>
        <v>0.98470000000000002</v>
      </c>
      <c r="AF101" s="14">
        <f t="shared" ref="AF101:AF104" si="22">K62</f>
        <v>5.4000000000000003E-3</v>
      </c>
      <c r="AG101" s="14">
        <f t="shared" ref="AG101:AG104" si="23">L62</f>
        <v>0.96609999999999996</v>
      </c>
      <c r="AH101" s="14">
        <f t="shared" ref="AH101:AH104" si="24">M62</f>
        <v>9.4000000000000004E-3</v>
      </c>
      <c r="AI101" s="14">
        <f t="shared" ref="AI101:AI104" si="25">N62</f>
        <v>0.97529999999999994</v>
      </c>
      <c r="AJ101" s="14">
        <f t="shared" ref="AJ101:AJ104" si="26">O62</f>
        <v>5.7000000000000002E-3</v>
      </c>
      <c r="AK101" s="14">
        <f t="shared" ref="AK101:AK104" si="27">P62</f>
        <v>0.99560000000000004</v>
      </c>
      <c r="AL101" s="14">
        <f t="shared" ref="AL101:AL104" si="28">Q62</f>
        <v>1.6999999999999999E-3</v>
      </c>
      <c r="AM101" s="14">
        <f t="shared" ref="AM101:AM104" si="29">R62</f>
        <v>288.51</v>
      </c>
      <c r="AN101" s="15">
        <f t="shared" ref="AN101:AN104" si="30">S62</f>
        <v>3714.1</v>
      </c>
    </row>
    <row r="102" spans="26:40" x14ac:dyDescent="0.25">
      <c r="Z102" s="201"/>
      <c r="AA102" s="162"/>
      <c r="AB102" s="90" t="s">
        <v>7</v>
      </c>
      <c r="AC102" s="14">
        <f t="shared" si="19"/>
        <v>0.99150000000000005</v>
      </c>
      <c r="AD102" s="14">
        <f t="shared" si="20"/>
        <v>1.6999999999999999E-3</v>
      </c>
      <c r="AE102" s="14">
        <f t="shared" si="21"/>
        <v>0.97940000000000005</v>
      </c>
      <c r="AF102" s="14">
        <f t="shared" si="22"/>
        <v>6.0000000000000001E-3</v>
      </c>
      <c r="AG102" s="14">
        <f t="shared" si="23"/>
        <v>0.97</v>
      </c>
      <c r="AH102" s="14">
        <f t="shared" si="24"/>
        <v>8.0999999999999996E-3</v>
      </c>
      <c r="AI102" s="14">
        <f t="shared" si="25"/>
        <v>0.97460000000000002</v>
      </c>
      <c r="AJ102" s="14">
        <f t="shared" si="26"/>
        <v>5.1999999999999998E-3</v>
      </c>
      <c r="AK102" s="14">
        <f t="shared" si="27"/>
        <v>0.99819999999999998</v>
      </c>
      <c r="AL102" s="14">
        <f t="shared" si="28"/>
        <v>1.1000000000000001E-3</v>
      </c>
      <c r="AM102" s="14">
        <f t="shared" si="29"/>
        <v>416.84</v>
      </c>
      <c r="AN102" s="15">
        <f t="shared" si="30"/>
        <v>3705.6</v>
      </c>
    </row>
    <row r="103" spans="26:40" x14ac:dyDescent="0.25">
      <c r="Z103" s="201"/>
      <c r="AA103" s="162"/>
      <c r="AB103" s="90" t="s">
        <v>8</v>
      </c>
      <c r="AC103" s="14">
        <f t="shared" si="19"/>
        <v>0.96989999999999998</v>
      </c>
      <c r="AD103" s="14">
        <f t="shared" si="20"/>
        <v>2.7000000000000001E-3</v>
      </c>
      <c r="AE103" s="14">
        <f t="shared" si="21"/>
        <v>0.85289999999999999</v>
      </c>
      <c r="AF103" s="14">
        <f t="shared" si="22"/>
        <v>1.0699999999999999E-2</v>
      </c>
      <c r="AG103" s="14">
        <f t="shared" si="23"/>
        <v>0.9919</v>
      </c>
      <c r="AH103" s="14">
        <f t="shared" si="24"/>
        <v>3.8999999999999998E-3</v>
      </c>
      <c r="AI103" s="14">
        <f t="shared" si="25"/>
        <v>0.91720000000000002</v>
      </c>
      <c r="AJ103" s="14">
        <f t="shared" si="26"/>
        <v>7.1000000000000004E-3</v>
      </c>
      <c r="AK103" s="14">
        <f t="shared" si="27"/>
        <v>0.98109999999999997</v>
      </c>
      <c r="AL103" s="14">
        <f t="shared" si="28"/>
        <v>2.0999999999999999E-3</v>
      </c>
      <c r="AM103" s="14">
        <f t="shared" si="29"/>
        <v>212.56</v>
      </c>
      <c r="AN103" s="15">
        <f t="shared" si="30"/>
        <v>3702.7</v>
      </c>
    </row>
    <row r="104" spans="26:40" ht="15.75" thickBot="1" x14ac:dyDescent="0.3">
      <c r="Z104" s="201"/>
      <c r="AA104" s="203"/>
      <c r="AB104" s="91" t="s">
        <v>9</v>
      </c>
      <c r="AC104" s="16">
        <f t="shared" si="19"/>
        <v>0.99170000000000003</v>
      </c>
      <c r="AD104" s="16">
        <f t="shared" si="20"/>
        <v>1.8E-3</v>
      </c>
      <c r="AE104" s="16">
        <f t="shared" si="21"/>
        <v>0.97629999999999995</v>
      </c>
      <c r="AF104" s="16">
        <f t="shared" si="22"/>
        <v>6.1000000000000004E-3</v>
      </c>
      <c r="AG104" s="16">
        <f t="shared" si="23"/>
        <v>0.97450000000000003</v>
      </c>
      <c r="AH104" s="16">
        <f t="shared" si="24"/>
        <v>1.15E-2</v>
      </c>
      <c r="AI104" s="16">
        <f t="shared" si="25"/>
        <v>0.97529999999999994</v>
      </c>
      <c r="AJ104" s="16">
        <f t="shared" si="26"/>
        <v>5.5999999999999999E-3</v>
      </c>
      <c r="AK104" s="16">
        <f t="shared" si="27"/>
        <v>0.99870000000000003</v>
      </c>
      <c r="AL104" s="16">
        <f t="shared" si="28"/>
        <v>6.9999999999999999E-4</v>
      </c>
      <c r="AM104" s="16">
        <f t="shared" si="29"/>
        <v>327.84</v>
      </c>
      <c r="AN104" s="17">
        <f t="shared" si="30"/>
        <v>3720.7</v>
      </c>
    </row>
    <row r="105" spans="26:40" x14ac:dyDescent="0.25">
      <c r="Z105" s="201"/>
      <c r="AA105" s="204" t="s">
        <v>17</v>
      </c>
      <c r="AB105" s="130" t="s">
        <v>5</v>
      </c>
      <c r="AC105" s="127">
        <f>H92</f>
        <v>0.999</v>
      </c>
      <c r="AD105" s="127">
        <f t="shared" ref="AD105:AN105" si="31">I92</f>
        <v>1.1999999999999999E-3</v>
      </c>
      <c r="AE105" s="127">
        <f t="shared" si="31"/>
        <v>0.99829999999999997</v>
      </c>
      <c r="AF105" s="127">
        <f t="shared" si="31"/>
        <v>3.3E-3</v>
      </c>
      <c r="AG105" s="127">
        <f t="shared" si="31"/>
        <v>0.99829999999999997</v>
      </c>
      <c r="AH105" s="127">
        <f t="shared" si="31"/>
        <v>3.3E-3</v>
      </c>
      <c r="AI105" s="127">
        <f t="shared" si="31"/>
        <v>0.99829999999999997</v>
      </c>
      <c r="AJ105" s="127">
        <f t="shared" si="31"/>
        <v>2E-3</v>
      </c>
      <c r="AK105" s="127">
        <f t="shared" si="31"/>
        <v>1</v>
      </c>
      <c r="AL105" s="127">
        <f t="shared" si="31"/>
        <v>0</v>
      </c>
      <c r="AM105" s="127">
        <f t="shared" si="31"/>
        <v>42.85</v>
      </c>
      <c r="AN105" s="128">
        <f t="shared" si="31"/>
        <v>3634.3</v>
      </c>
    </row>
    <row r="106" spans="26:40" x14ac:dyDescent="0.25">
      <c r="Z106" s="201"/>
      <c r="AA106" s="205"/>
      <c r="AB106" s="85" t="s">
        <v>6</v>
      </c>
      <c r="AC106" s="20">
        <f t="shared" ref="AC106:AC109" si="32">H93</f>
        <v>0.99929999999999997</v>
      </c>
      <c r="AD106" s="20">
        <f t="shared" ref="AD106:AD109" si="33">I93</f>
        <v>1E-3</v>
      </c>
      <c r="AE106" s="20">
        <f t="shared" ref="AE106:AE109" si="34">J93</f>
        <v>0.99919999999999998</v>
      </c>
      <c r="AF106" s="20">
        <f t="shared" ref="AF106:AF109" si="35">K93</f>
        <v>1.6999999999999999E-3</v>
      </c>
      <c r="AG106" s="20">
        <f t="shared" ref="AG106:AG109" si="36">L93</f>
        <v>0.99829999999999997</v>
      </c>
      <c r="AH106" s="20">
        <f t="shared" ref="AH106:AH109" si="37">M93</f>
        <v>3.3E-3</v>
      </c>
      <c r="AI106" s="20">
        <f t="shared" ref="AI106:AI109" si="38">N93</f>
        <v>0.99870000000000003</v>
      </c>
      <c r="AJ106" s="20">
        <f t="shared" ref="AJ106:AJ109" si="39">O93</f>
        <v>1.6999999999999999E-3</v>
      </c>
      <c r="AK106" s="20">
        <f t="shared" ref="AK106:AK109" si="40">P93</f>
        <v>1</v>
      </c>
      <c r="AL106" s="20">
        <f t="shared" ref="AL106:AL109" si="41">Q93</f>
        <v>0</v>
      </c>
      <c r="AM106" s="20">
        <f t="shared" ref="AM106:AM109" si="42">R93</f>
        <v>43.81</v>
      </c>
      <c r="AN106" s="21">
        <f t="shared" ref="AN106:AN109" si="43">S93</f>
        <v>3621.7</v>
      </c>
    </row>
    <row r="107" spans="26:40" x14ac:dyDescent="0.25">
      <c r="Z107" s="201"/>
      <c r="AA107" s="205"/>
      <c r="AB107" s="85" t="s">
        <v>7</v>
      </c>
      <c r="AC107" s="20">
        <f t="shared" si="32"/>
        <v>0.99880000000000002</v>
      </c>
      <c r="AD107" s="20">
        <f t="shared" si="33"/>
        <v>1.5E-3</v>
      </c>
      <c r="AE107" s="20">
        <f t="shared" si="34"/>
        <v>0.99750000000000005</v>
      </c>
      <c r="AF107" s="20">
        <f t="shared" si="35"/>
        <v>3.3E-3</v>
      </c>
      <c r="AG107" s="20">
        <f t="shared" si="36"/>
        <v>0.99829999999999997</v>
      </c>
      <c r="AH107" s="20">
        <f t="shared" si="37"/>
        <v>3.3E-3</v>
      </c>
      <c r="AI107" s="20">
        <f t="shared" si="38"/>
        <v>0.99790000000000001</v>
      </c>
      <c r="AJ107" s="20">
        <f t="shared" si="39"/>
        <v>2.5999999999999999E-3</v>
      </c>
      <c r="AK107" s="20">
        <f t="shared" si="40"/>
        <v>1</v>
      </c>
      <c r="AL107" s="20">
        <f t="shared" si="41"/>
        <v>0</v>
      </c>
      <c r="AM107" s="20">
        <f t="shared" si="42"/>
        <v>51.59</v>
      </c>
      <c r="AN107" s="21">
        <f t="shared" si="43"/>
        <v>3621.6</v>
      </c>
    </row>
    <row r="108" spans="26:40" x14ac:dyDescent="0.25">
      <c r="Z108" s="201"/>
      <c r="AA108" s="205"/>
      <c r="AB108" s="85" t="s">
        <v>8</v>
      </c>
      <c r="AC108" s="20">
        <f t="shared" si="32"/>
        <v>0.99829999999999997</v>
      </c>
      <c r="AD108" s="20">
        <f t="shared" si="33"/>
        <v>1.5E-3</v>
      </c>
      <c r="AE108" s="20">
        <f t="shared" si="34"/>
        <v>0.995</v>
      </c>
      <c r="AF108" s="20">
        <f t="shared" si="35"/>
        <v>4.1000000000000003E-3</v>
      </c>
      <c r="AG108" s="20">
        <f t="shared" si="36"/>
        <v>0.99919999999999998</v>
      </c>
      <c r="AH108" s="20">
        <f t="shared" si="37"/>
        <v>1.6999999999999999E-3</v>
      </c>
      <c r="AI108" s="20">
        <f t="shared" si="38"/>
        <v>0.99709999999999999</v>
      </c>
      <c r="AJ108" s="20">
        <f t="shared" si="39"/>
        <v>2.5000000000000001E-3</v>
      </c>
      <c r="AK108" s="20">
        <f t="shared" si="40"/>
        <v>0.999</v>
      </c>
      <c r="AL108" s="20">
        <f t="shared" si="41"/>
        <v>8.0000000000000004E-4</v>
      </c>
      <c r="AM108" s="20">
        <f t="shared" si="42"/>
        <v>42.87</v>
      </c>
      <c r="AN108" s="21">
        <f t="shared" si="43"/>
        <v>3621.4</v>
      </c>
    </row>
    <row r="109" spans="26:40" ht="15.75" thickBot="1" x14ac:dyDescent="0.3">
      <c r="Z109" s="202"/>
      <c r="AA109" s="206"/>
      <c r="AB109" s="94" t="s">
        <v>9</v>
      </c>
      <c r="AC109" s="22">
        <f t="shared" si="32"/>
        <v>0.999</v>
      </c>
      <c r="AD109" s="22">
        <f t="shared" si="33"/>
        <v>1.1999999999999999E-3</v>
      </c>
      <c r="AE109" s="22">
        <f t="shared" si="34"/>
        <v>0.99829999999999997</v>
      </c>
      <c r="AF109" s="22">
        <f t="shared" si="35"/>
        <v>3.3E-3</v>
      </c>
      <c r="AG109" s="22">
        <f t="shared" si="36"/>
        <v>0.99829999999999997</v>
      </c>
      <c r="AH109" s="22">
        <f t="shared" si="37"/>
        <v>3.3E-3</v>
      </c>
      <c r="AI109" s="22">
        <f t="shared" si="38"/>
        <v>0.99829999999999997</v>
      </c>
      <c r="AJ109" s="22">
        <f t="shared" si="39"/>
        <v>2E-3</v>
      </c>
      <c r="AK109" s="22">
        <f t="shared" si="40"/>
        <v>1</v>
      </c>
      <c r="AL109" s="22">
        <f t="shared" si="41"/>
        <v>0</v>
      </c>
      <c r="AM109" s="22">
        <f t="shared" si="42"/>
        <v>47.38</v>
      </c>
      <c r="AN109" s="23">
        <f t="shared" si="43"/>
        <v>3631.5</v>
      </c>
    </row>
    <row r="110" spans="26:40" x14ac:dyDescent="0.25">
      <c r="AA110" s="26"/>
      <c r="AB110" s="25"/>
      <c r="AC110" s="5">
        <f t="shared" ref="AC110:AN110" si="44">AVERAGE(AC95:AC109)</f>
        <v>0.99309333333333327</v>
      </c>
      <c r="AD110" s="5">
        <f t="shared" si="44"/>
        <v>1.3600000000000001E-3</v>
      </c>
      <c r="AE110" s="5">
        <f t="shared" si="44"/>
        <v>0.97924666666666671</v>
      </c>
      <c r="AF110" s="5">
        <f t="shared" si="44"/>
        <v>3.6733333333333331E-3</v>
      </c>
      <c r="AG110" s="5">
        <f t="shared" si="44"/>
        <v>0.98678666666666681</v>
      </c>
      <c r="AH110" s="5">
        <f t="shared" si="44"/>
        <v>4.9066666666666659E-3</v>
      </c>
      <c r="AI110" s="5">
        <f t="shared" si="44"/>
        <v>0.98263333333333336</v>
      </c>
      <c r="AJ110" s="5">
        <f t="shared" si="44"/>
        <v>3.2266666666666672E-3</v>
      </c>
      <c r="AK110" s="5">
        <f t="shared" si="44"/>
        <v>0.99694666666666665</v>
      </c>
      <c r="AL110" s="5">
        <f t="shared" si="44"/>
        <v>7.2666666666666669E-4</v>
      </c>
      <c r="AM110" s="5">
        <f t="shared" si="44"/>
        <v>356.46200000000016</v>
      </c>
      <c r="AN110" s="72">
        <f t="shared" si="44"/>
        <v>3745.9866666666662</v>
      </c>
    </row>
    <row r="117" spans="28:40" x14ac:dyDescent="0.25">
      <c r="AB117" s="28" t="s">
        <v>24</v>
      </c>
      <c r="AC117" s="97" t="s">
        <v>10</v>
      </c>
      <c r="AD117" s="97" t="s">
        <v>418</v>
      </c>
      <c r="AE117" s="97" t="s">
        <v>11</v>
      </c>
      <c r="AF117" s="97" t="s">
        <v>419</v>
      </c>
      <c r="AG117" s="97" t="s">
        <v>12</v>
      </c>
      <c r="AH117" s="97" t="s">
        <v>420</v>
      </c>
      <c r="AI117" s="97" t="s">
        <v>13</v>
      </c>
      <c r="AJ117" s="97" t="s">
        <v>421</v>
      </c>
      <c r="AK117" s="97" t="s">
        <v>14</v>
      </c>
      <c r="AL117" s="97" t="s">
        <v>422</v>
      </c>
      <c r="AM117" s="98" t="s">
        <v>66</v>
      </c>
      <c r="AN117" s="98" t="s">
        <v>67</v>
      </c>
    </row>
    <row r="118" spans="28:40" x14ac:dyDescent="0.25">
      <c r="AB118" s="99" t="s">
        <v>0</v>
      </c>
      <c r="AC118" s="27" cm="1">
        <f t="array" ref="AC118:AN118">AC20:AN20</f>
        <v>0.94409333333333345</v>
      </c>
      <c r="AD118" s="27">
        <v>2.7733333333333334E-3</v>
      </c>
      <c r="AE118" s="27">
        <v>0.90472666666666668</v>
      </c>
      <c r="AF118" s="27">
        <v>8.9533333333333322E-3</v>
      </c>
      <c r="AG118" s="27">
        <v>0.8258333333333332</v>
      </c>
      <c r="AH118" s="27">
        <v>9.8933333333333356E-3</v>
      </c>
      <c r="AI118" s="27">
        <v>0.85770666666666684</v>
      </c>
      <c r="AJ118" s="27">
        <v>6.6666666666666671E-3</v>
      </c>
      <c r="AK118" s="27">
        <v>0.97639999999999993</v>
      </c>
      <c r="AL118" s="27">
        <v>2.453333333333333E-3</v>
      </c>
      <c r="AM118" s="27">
        <v>711.14066666666668</v>
      </c>
      <c r="AN118" s="27">
        <v>88.813333333333318</v>
      </c>
    </row>
    <row r="119" spans="28:40" ht="15.75" x14ac:dyDescent="0.25">
      <c r="AB119" s="99" t="s">
        <v>1</v>
      </c>
      <c r="AC119" s="29" cm="1">
        <f t="array" ref="AC119:AN119">AC38:AN38</f>
        <v>0.92917333333333318</v>
      </c>
      <c r="AD119" s="29">
        <v>3.5200000000000001E-3</v>
      </c>
      <c r="AE119" s="29">
        <v>0.92765333333333322</v>
      </c>
      <c r="AF119" s="29">
        <v>1.0833333333333334E-2</v>
      </c>
      <c r="AG119" s="29">
        <v>0.72818666666666654</v>
      </c>
      <c r="AH119" s="29">
        <v>1.14E-2</v>
      </c>
      <c r="AI119" s="29">
        <v>0.78404666666666656</v>
      </c>
      <c r="AJ119" s="29">
        <v>9.5333333333333346E-3</v>
      </c>
      <c r="AK119" s="29">
        <v>0.97845333333333318</v>
      </c>
      <c r="AL119" s="29">
        <v>1.7400000000000004E-3</v>
      </c>
      <c r="AM119" s="29">
        <v>780.69600000000003</v>
      </c>
      <c r="AN119" s="29">
        <v>86.36666666666666</v>
      </c>
    </row>
    <row r="120" spans="28:40" x14ac:dyDescent="0.25">
      <c r="AB120" s="99" t="s">
        <v>2</v>
      </c>
      <c r="AC120" s="27" cm="1">
        <f t="array" ref="AC120:AN120">AC56:AN56</f>
        <v>0.88197999999999988</v>
      </c>
      <c r="AD120" s="27">
        <v>5.0133333333333332E-3</v>
      </c>
      <c r="AE120" s="27">
        <v>0.75464666666666658</v>
      </c>
      <c r="AF120" s="27">
        <v>1.5926666666666665E-2</v>
      </c>
      <c r="AG120" s="27">
        <v>0.76791333333333334</v>
      </c>
      <c r="AH120" s="27">
        <v>1.4846666666666668E-2</v>
      </c>
      <c r="AI120" s="27">
        <v>0.74235333333333331</v>
      </c>
      <c r="AJ120" s="27">
        <v>1.0213333333333333E-2</v>
      </c>
      <c r="AK120" s="27">
        <v>0.93396000000000001</v>
      </c>
      <c r="AL120" s="27">
        <v>3.4333333333333329E-3</v>
      </c>
      <c r="AM120" s="27">
        <v>125.958</v>
      </c>
      <c r="AN120" s="27">
        <v>134.00666666666666</v>
      </c>
    </row>
    <row r="121" spans="28:40" x14ac:dyDescent="0.25">
      <c r="AB121" s="99" t="s">
        <v>3</v>
      </c>
      <c r="AC121" s="27" cm="1">
        <f t="array" ref="AC121:AN121">AC74:AN74</f>
        <v>0.85486000000000006</v>
      </c>
      <c r="AD121" s="27">
        <v>5.9133333333333321E-3</v>
      </c>
      <c r="AE121" s="27">
        <v>0.75305333333333324</v>
      </c>
      <c r="AF121" s="27">
        <v>1.5133333333333332E-2</v>
      </c>
      <c r="AG121" s="27">
        <v>0.5651466666666668</v>
      </c>
      <c r="AH121" s="27">
        <v>2.0486666666666663E-2</v>
      </c>
      <c r="AI121" s="27">
        <v>0.63308666666666669</v>
      </c>
      <c r="AJ121" s="27">
        <v>1.5559999999999999E-2</v>
      </c>
      <c r="AK121" s="27">
        <v>0.87818666666666667</v>
      </c>
      <c r="AL121" s="27">
        <v>6.2399999999999999E-3</v>
      </c>
      <c r="AM121" s="27">
        <v>264.8073333333333</v>
      </c>
      <c r="AN121" s="27">
        <v>142.70000000000002</v>
      </c>
    </row>
    <row r="122" spans="28:40" x14ac:dyDescent="0.25">
      <c r="AB122" s="99" t="s">
        <v>449</v>
      </c>
      <c r="AC122" s="27" cm="1">
        <f t="array" ref="AC122:AN122">AC92:AN92</f>
        <v>0.90680666666666654</v>
      </c>
      <c r="AD122" s="27">
        <v>4.7066666666666672E-3</v>
      </c>
      <c r="AE122" s="27">
        <v>0.81398666666666675</v>
      </c>
      <c r="AF122" s="27">
        <v>1.4073333333333334E-2</v>
      </c>
      <c r="AG122" s="27">
        <v>0.77713333333333334</v>
      </c>
      <c r="AH122" s="27">
        <v>1.9093333333333334E-2</v>
      </c>
      <c r="AI122" s="27">
        <v>0.77561333333333338</v>
      </c>
      <c r="AJ122" s="27">
        <v>1.2146666666666668E-2</v>
      </c>
      <c r="AK122" s="27">
        <v>0.94484666666666661</v>
      </c>
      <c r="AL122" s="27">
        <v>3.7600000000000003E-3</v>
      </c>
      <c r="AM122" s="27">
        <v>405.65600000000001</v>
      </c>
      <c r="AN122" s="27">
        <v>1121.52</v>
      </c>
    </row>
    <row r="123" spans="28:40" x14ac:dyDescent="0.25">
      <c r="AB123" s="99" t="s">
        <v>25</v>
      </c>
      <c r="AC123" s="27" cm="1">
        <f t="array" ref="AC123:AN123">AC110:AN110</f>
        <v>0.99309333333333327</v>
      </c>
      <c r="AD123" s="27">
        <v>1.3600000000000001E-3</v>
      </c>
      <c r="AE123" s="27">
        <v>0.97924666666666671</v>
      </c>
      <c r="AF123" s="27">
        <v>3.6733333333333331E-3</v>
      </c>
      <c r="AG123" s="27">
        <v>0.98678666666666681</v>
      </c>
      <c r="AH123" s="27">
        <v>4.9066666666666659E-3</v>
      </c>
      <c r="AI123" s="27">
        <v>0.98263333333333336</v>
      </c>
      <c r="AJ123" s="27">
        <v>3.2266666666666672E-3</v>
      </c>
      <c r="AK123" s="27">
        <v>0.99694666666666665</v>
      </c>
      <c r="AL123" s="27">
        <v>7.2666666666666669E-4</v>
      </c>
      <c r="AM123" s="27">
        <v>356.46200000000016</v>
      </c>
      <c r="AN123" s="27">
        <v>3745.9866666666662</v>
      </c>
    </row>
  </sheetData>
  <mergeCells count="48">
    <mergeCell ref="Z95:Z109"/>
    <mergeCell ref="AA95:AA99"/>
    <mergeCell ref="AA100:AA104"/>
    <mergeCell ref="AA105:AA109"/>
    <mergeCell ref="AA64:AA68"/>
    <mergeCell ref="AA82:AA86"/>
    <mergeCell ref="AA87:AA91"/>
    <mergeCell ref="AA69:AA73"/>
    <mergeCell ref="AA77:AA81"/>
    <mergeCell ref="Z77:Z91"/>
    <mergeCell ref="Z59:Z73"/>
    <mergeCell ref="AA59:AA63"/>
    <mergeCell ref="Z23:Z37"/>
    <mergeCell ref="AA41:AA45"/>
    <mergeCell ref="Z41:Z55"/>
    <mergeCell ref="AA51:AA55"/>
    <mergeCell ref="AA46:AA50"/>
    <mergeCell ref="F61:F65"/>
    <mergeCell ref="E5:E34"/>
    <mergeCell ref="E36:E65"/>
    <mergeCell ref="E67:E96"/>
    <mergeCell ref="F92:F96"/>
    <mergeCell ref="F67:F71"/>
    <mergeCell ref="F72:F76"/>
    <mergeCell ref="F77:F81"/>
    <mergeCell ref="F82:F86"/>
    <mergeCell ref="F87:F91"/>
    <mergeCell ref="F36:F40"/>
    <mergeCell ref="F41:F45"/>
    <mergeCell ref="F46:F50"/>
    <mergeCell ref="F51:F55"/>
    <mergeCell ref="F56:F60"/>
    <mergeCell ref="AR45:AT45"/>
    <mergeCell ref="AR25:AU25"/>
    <mergeCell ref="W4:X4"/>
    <mergeCell ref="F5:F9"/>
    <mergeCell ref="Z5:Z19"/>
    <mergeCell ref="AA5:AA9"/>
    <mergeCell ref="F10:F14"/>
    <mergeCell ref="AA10:AA14"/>
    <mergeCell ref="F15:F19"/>
    <mergeCell ref="AA15:AA19"/>
    <mergeCell ref="F20:F24"/>
    <mergeCell ref="AA23:AA27"/>
    <mergeCell ref="F25:F29"/>
    <mergeCell ref="F30:F34"/>
    <mergeCell ref="AA28:AA32"/>
    <mergeCell ref="AA33:AA37"/>
  </mergeCells>
  <conditionalFormatting sqref="H5:H34">
    <cfRule type="top10" priority="1" rank="3"/>
  </conditionalFormatting>
  <pageMargins left="0.7" right="0.7" top="0.75" bottom="0.75" header="0.3" footer="0.3"/>
  <pageSetup paperSize="11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 Completo (2)</vt:lpstr>
      <vt:lpstr>Hoja2 Con BERT 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Esau Lòpez</dc:creator>
  <cp:lastModifiedBy>Esau Lòpez</cp:lastModifiedBy>
  <cp:lastPrinted>2026-03-08T03:09:16Z</cp:lastPrinted>
  <dcterms:created xsi:type="dcterms:W3CDTF">2025-06-14T03:07:36Z</dcterms:created>
  <dcterms:modified xsi:type="dcterms:W3CDTF">2026-03-08T04:36:11Z</dcterms:modified>
</cp:coreProperties>
</file>